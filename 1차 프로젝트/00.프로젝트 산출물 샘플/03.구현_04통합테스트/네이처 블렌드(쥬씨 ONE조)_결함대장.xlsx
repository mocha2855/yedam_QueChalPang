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90"/>
  </bookViews>
  <sheets>
    <sheet name="필요내용" sheetId="2" r:id="rId1"/>
    <sheet name="4.결함대장(원본)" sheetId="1" r:id="rId2"/>
  </sheets>
  <calcPr calcId="152511"/>
</workbook>
</file>

<file path=xl/calcChain.xml><?xml version="1.0" encoding="utf-8"?>
<calcChain xmlns="http://schemas.openxmlformats.org/spreadsheetml/2006/main">
  <c r="H4" i="2" l="1"/>
  <c r="F4" i="2"/>
  <c r="D4" i="2"/>
  <c r="H3" i="2"/>
  <c r="F3" i="2"/>
  <c r="D3" i="2"/>
  <c r="J2" i="2"/>
  <c r="H2" i="2"/>
  <c r="F2" i="2"/>
  <c r="D2" i="2"/>
  <c r="J1" i="2"/>
  <c r="D1" i="2"/>
  <c r="L4" i="1"/>
  <c r="J4" i="1"/>
  <c r="H4" i="1"/>
  <c r="L3" i="1"/>
  <c r="J3" i="1"/>
  <c r="H3" i="1"/>
  <c r="N2" i="1"/>
  <c r="L2" i="1"/>
  <c r="J2" i="1"/>
  <c r="H2" i="1"/>
  <c r="N1" i="1"/>
  <c r="H1" i="1"/>
  <c r="D5" i="2" l="1"/>
  <c r="H5" i="2"/>
  <c r="F5" i="2"/>
  <c r="H5" i="1"/>
  <c r="J5" i="1"/>
  <c r="L5" i="1"/>
</calcChain>
</file>

<file path=xl/sharedStrings.xml><?xml version="1.0" encoding="utf-8"?>
<sst xmlns="http://schemas.openxmlformats.org/spreadsheetml/2006/main" count="2146" uniqueCount="279">
  <si>
    <t>2.  결함대장_단위업무명</t>
  </si>
  <si>
    <t>요청건수</t>
  </si>
  <si>
    <t>확인건수</t>
  </si>
  <si>
    <t>결함건수</t>
  </si>
  <si>
    <t>결함조치건수</t>
  </si>
  <si>
    <t>반영예정건수</t>
  </si>
  <si>
    <t>반영조치건수</t>
  </si>
  <si>
    <t>개선사항건수</t>
  </si>
  <si>
    <t>개선사항조치건수</t>
  </si>
  <si>
    <t>미반영예정건수</t>
  </si>
  <si>
    <t>추가사항건수</t>
  </si>
  <si>
    <t>추가사항조치건수</t>
  </si>
  <si>
    <t>보류건수</t>
  </si>
  <si>
    <t>합계</t>
  </si>
  <si>
    <t>사업팀/개발팀/지원위원회</t>
  </si>
  <si>
    <t>수행팀</t>
  </si>
  <si>
    <t>테스트시나리오ID</t>
  </si>
  <si>
    <t>테스트시나리오명</t>
  </si>
  <si>
    <t>모듈</t>
  </si>
  <si>
    <t>차수</t>
  </si>
  <si>
    <t>메뉴명</t>
  </si>
  <si>
    <t>결함내용</t>
  </si>
  <si>
    <t>테스트시행일자</t>
  </si>
  <si>
    <t>우선순위</t>
  </si>
  <si>
    <t>결함유형</t>
  </si>
  <si>
    <t>반영여부</t>
  </si>
  <si>
    <t>조치예정일</t>
  </si>
  <si>
    <t>조치내용</t>
  </si>
  <si>
    <t>조치여부</t>
  </si>
  <si>
    <t>조치담당자</t>
  </si>
  <si>
    <t>품질-모든 페이지</t>
  </si>
  <si>
    <t>검색 버튼 크기 수정</t>
  </si>
  <si>
    <t>UI</t>
  </si>
  <si>
    <t>반영</t>
  </si>
  <si>
    <t>O</t>
  </si>
  <si>
    <t>완료</t>
  </si>
  <si>
    <t>이신화</t>
  </si>
  <si>
    <t>notify(경고창) 제목 삭제, 경어체 통일</t>
  </si>
  <si>
    <t>알람</t>
  </si>
  <si>
    <t>품질-모든페이지-그리드</t>
  </si>
  <si>
    <t>그리드 페이지네이션 사이즈 통일</t>
  </si>
  <si>
    <t>테이블</t>
  </si>
  <si>
    <t>페이지 제목 폰트 크기 통일</t>
  </si>
  <si>
    <t>품질-입고검사신청-그리드</t>
  </si>
  <si>
    <t>선택항목 모두 체크 기능 추가</t>
  </si>
  <si>
    <t>기능</t>
  </si>
  <si>
    <t>품질-입고,세척,포장검사-모달</t>
  </si>
  <si>
    <t>모달 사이즈 조절 및 레이아웃 개선(버튼, 검사정보출력, ...)</t>
  </si>
  <si>
    <t>모달</t>
  </si>
  <si>
    <t>품질-입고검사-그리드</t>
  </si>
  <si>
    <t>테이블 수치 콤마(,)추가 및 자재마다 수량 단위 표기</t>
  </si>
  <si>
    <t>품질-입고검사-모달</t>
  </si>
  <si>
    <t>그리드 수정에 따른 불량 수량 입력값 조정 및 단위 표기에 맞게 수량 입력 조건 추가</t>
  </si>
  <si>
    <t>품질-세척검사-그리드</t>
  </si>
  <si>
    <t>품질-세척검사-모달</t>
  </si>
  <si>
    <t>품질-포장검사-그리드</t>
  </si>
  <si>
    <t>품질-포장검사-모달</t>
  </si>
  <si>
    <t>품질-음료검사-그리드</t>
  </si>
  <si>
    <t>품질-음료검사관리-모달</t>
  </si>
  <si>
    <t>검사정보 레이아웃 정리 및 항목별 한글표기 추가</t>
  </si>
  <si>
    <t>품질-음료검사기록-모달</t>
  </si>
  <si>
    <t>품질 모든 페이지-모달</t>
  </si>
  <si>
    <t>모달 헤드 배경색 변경</t>
  </si>
  <si>
    <t>모달 안 테이블 헤더 색 추가하기, 버튼 수정(위치, 색, 버튼명)</t>
  </si>
  <si>
    <t>품질-모든검사관리-알람</t>
  </si>
  <si>
    <t>검사 기록 입력 모달창 완료, 초기화 notify(알람) 출력</t>
  </si>
  <si>
    <t>검사 결과 입력 모달 너비 줄이기</t>
  </si>
  <si>
    <t>품질-모든검사관리-그리드</t>
  </si>
  <si>
    <t>테이블 중 수정되는 셀 아이콘 추가</t>
  </si>
  <si>
    <t>검색창 자동완성기능 제거</t>
  </si>
  <si>
    <t>생산 전체</t>
  </si>
  <si>
    <t>ag grid 페이지 사이즈 10일 경우 페이지 사이즈 빈값나옴</t>
  </si>
  <si>
    <t>설정값 반영</t>
  </si>
  <si>
    <t>김다영</t>
  </si>
  <si>
    <t>생산계획 등록</t>
  </si>
  <si>
    <t>생산계획 &gt; 주문 선택하달라는 안내 텍스트 추가하기</t>
  </si>
  <si>
    <t>UI 수정</t>
  </si>
  <si>
    <t>현계획량: 인풋창 스타일 수정하기. 편집가능한 아이인지 알 수 있게</t>
  </si>
  <si>
    <t>생산계획 등록 &gt; 등록 시, 이미 등록한 내용 사라지게</t>
  </si>
  <si>
    <t>입력값 초기화</t>
  </si>
  <si>
    <t>생산계획 목록</t>
  </si>
  <si>
    <t>생산지시 &gt; 생산지시 등록 : 지시수량 0으로 적으면 필요한 자재 값이 안바뀜</t>
  </si>
  <si>
    <t>데이터 이상</t>
  </si>
  <si>
    <t>데이터 바인딩 로직 수정</t>
  </si>
  <si>
    <t>생산지시 &gt; 생산지시 등록 : 지시 등록 완료후에 초기화 또는 페이지 이동이 필요함</t>
  </si>
  <si>
    <t>공정작업</t>
  </si>
  <si>
    <t>공정작업 &gt; 작업목록 : 분할작업 시작전에는 불량량, 합격량 입력 못하도록</t>
  </si>
  <si>
    <t>분기 처리</t>
  </si>
  <si>
    <t>공정작업 &gt; 작업목록 : 작업 시작 눌룬후에 데이터가 품질쪽으로 안넘어감</t>
  </si>
  <si>
    <t>분기 처리 시 조건 변경</t>
  </si>
  <si>
    <t>process_work_header 테이블에서 product_name 컬럼에 상품코드 값이 들어가고 있음</t>
  </si>
  <si>
    <t>값 변경</t>
  </si>
  <si>
    <t>생산계획등록에 수정가능한부분 연필 넣는걸로, (헤더 주황색은 선택)</t>
  </si>
  <si>
    <t>생산지시 등록</t>
  </si>
  <si>
    <t>사용 자재 부족 시, 노티 메세지 띄우고 등록 막기</t>
  </si>
  <si>
    <t>분기 추가</t>
  </si>
  <si>
    <t>수정가능한 셀에 아이콘 추가하기</t>
  </si>
  <si>
    <t>라디오 버튼 레이아웃 수정</t>
  </si>
  <si>
    <t>시작 전인 분할작업이 여러개 있을 때 모달의 선택값이 모든 분할작업에 적용되는 문제 수정</t>
  </si>
  <si>
    <t>프론트 데이터 수정</t>
  </si>
  <si>
    <t>분할작업이 모두 종료가 된 뒤, 해당 공정작업의 상태가 '완료'로 변경되어야함</t>
  </si>
  <si>
    <t>상태값 트래킹 로직 수정</t>
  </si>
  <si>
    <t>생산 지시시, 수량 외 다른 인풋값이 변경되어도 필요한 자재의 용량이 변경됨</t>
  </si>
  <si>
    <t>컴포넌트 간 값 전달 함수 수정</t>
  </si>
  <si>
    <t>생산지시 목록</t>
  </si>
  <si>
    <t>지시삭제 &gt; 프로세스 워크 헤더 테이블에 값 삭제 안됨</t>
  </si>
  <si>
    <t>쿼리 추가</t>
  </si>
  <si>
    <t>지시삭제 &gt; 인벨리드 메테리얼 테이블에 값 삭제 안됨</t>
  </si>
  <si>
    <t>api 추가</t>
  </si>
  <si>
    <t>사용할 자재 대비 재고 수량 체크하여 재고보다 큰 수량 입력 시 노티 띄우기</t>
  </si>
  <si>
    <t>수량 비교 로직 추가</t>
  </si>
  <si>
    <t>지시 등록 시, 재고 안부족한데, 부족하다는 노티 뜨고 등록 안됨</t>
  </si>
  <si>
    <t>프론트단 객체 값 비교 로직 수정</t>
  </si>
  <si>
    <t>전체</t>
  </si>
  <si>
    <t>콘솔로그창: Vue Router warn</t>
  </si>
  <si>
    <t>권나윤</t>
  </si>
  <si>
    <t xml:space="preserve">주문서 등록 </t>
  </si>
  <si>
    <t xml:space="preserve"> '+' 버튼 명 '주문추가'로 변경</t>
  </si>
  <si>
    <t>버튼</t>
  </si>
  <si>
    <t xml:space="preserve">주문추가 하나는 기본값으로 하나 생성 </t>
  </si>
  <si>
    <t>제품LOT재고조회</t>
  </si>
  <si>
    <t xml:space="preserve"> LOT조회 헤더에 영문폰트 변경 ( Arial )</t>
  </si>
  <si>
    <t>주문서조회</t>
  </si>
  <si>
    <t xml:space="preserve">수정가능한 주문수량, 개당가격 수정가능하다는 것 알리는 표시 추가 </t>
  </si>
  <si>
    <t>출고등록</t>
  </si>
  <si>
    <t xml:space="preserve">출고수 적는 부분에 표시  </t>
  </si>
  <si>
    <t>입고조회</t>
  </si>
  <si>
    <t>창고위치 수정 가능하다는 것 알리는 표시 추가 (이모티콘 숫자(왼쪽) , 문자(오른쪽)</t>
  </si>
  <si>
    <t>반품조회</t>
  </si>
  <si>
    <t xml:space="preserve">반품량, 반품사유 수정가능한 표시 추가 </t>
  </si>
  <si>
    <t xml:space="preserve">전체 그리드 </t>
  </si>
  <si>
    <t>테이블 또는 그리드 페이지네이션 페이징 단위 표기</t>
  </si>
  <si>
    <t>페이지 제목</t>
  </si>
  <si>
    <t xml:space="preserve">h3으로 변경 </t>
  </si>
  <si>
    <t>전체그리드</t>
  </si>
  <si>
    <t xml:space="preserve">숫자의 경우 콤마(,)넣기 </t>
  </si>
  <si>
    <t>제품로트재고조회</t>
  </si>
  <si>
    <t xml:space="preserve"> 체크박스 클릭 잘 먹히는 문제</t>
  </si>
  <si>
    <t>notify</t>
  </si>
  <si>
    <t xml:space="preserve">빨강, 주황, 초록만 사용 하고 파란색 부분 변경 </t>
  </si>
  <si>
    <t xml:space="preserve">재고수 이상으로 출고 불가 하게 예외처리 </t>
  </si>
  <si>
    <t>페이지</t>
  </si>
  <si>
    <t>주문서등록</t>
  </si>
  <si>
    <t xml:space="preserve">주문등록시 칸 안채우면 불가 하게 예외처리 </t>
  </si>
  <si>
    <t>공통 작업</t>
  </si>
  <si>
    <t>페이지 제목 h3태그로 통일</t>
  </si>
  <si>
    <t>김선용</t>
  </si>
  <si>
    <t>알림 내용 경어체 사용하도록 수정</t>
  </si>
  <si>
    <t>모달의 취소버튼을 닫기 버튼으로 수정</t>
  </si>
  <si>
    <t>ag-grid의 데이터가 없는 경우 출력 메세지 변경</t>
  </si>
  <si>
    <t>기본단위 통일(개 / ml / g)</t>
  </si>
  <si>
    <t>checkbox 및 radio 레이아웃 통일</t>
  </si>
  <si>
    <t>설비 조회</t>
  </si>
  <si>
    <t>초기화 버튼 클릭시 전체 건색</t>
  </si>
  <si>
    <t>설비 검색창이 엔터키를 인식하게 수정</t>
  </si>
  <si>
    <t>설비 상세</t>
  </si>
  <si>
    <t>출력 방식 및 레이아웃 변경</t>
  </si>
  <si>
    <t>생산시간이 0인 경우 출력 오류 수정</t>
  </si>
  <si>
    <t>설비 등록</t>
  </si>
  <si>
    <t>등록자 정보 출력 및 입력 방식 변경</t>
  </si>
  <si>
    <t>UPH 출력 단위 변경</t>
  </si>
  <si>
    <t>거래처 입력을 거래처 선택 모달을 사용하도록 수정</t>
  </si>
  <si>
    <t>비가동 상태로 설비 등록시 비가동 설비 내역 등록</t>
  </si>
  <si>
    <t>설비 수정</t>
  </si>
  <si>
    <t>alert 방식의 알림창 -&gt; notify 방식으로 변경</t>
  </si>
  <si>
    <t>설비 관리 모달</t>
  </si>
  <si>
    <t>모달의 제목 크기 및 배경색 변경</t>
  </si>
  <si>
    <t>비가동 관리</t>
  </si>
  <si>
    <t>비가동 설비 분류 선택항목의 설비 분류 텍스트 제거</t>
  </si>
  <si>
    <t>비가동 설비 조회</t>
  </si>
  <si>
    <t>비가동 내역 툴팁 추가(상세 내용, 비동기 시작 사원, 비동기 종료 사원)</t>
  </si>
  <si>
    <t>ag-grid 페이지 단위 수정</t>
  </si>
  <si>
    <t xml:space="preserve"> input 태그 중 선택 모달을 사용하는 경우 돋보기 아이콘 추가</t>
  </si>
  <si>
    <t>설비 조회 검색창 버튼 디자인 수정</t>
  </si>
  <si>
    <t>설비 검색시 작동상태 출력 오류 및 비가동 상태 변경시 동작 수정</t>
  </si>
  <si>
    <t>비가동 내역 조회</t>
  </si>
  <si>
    <t>비가동 내역 출력 조건 선택용 checkbox 디자인 수정</t>
  </si>
  <si>
    <t>비가동 설비 조회 쿼리문의 사원 정보 LEFT JOIN으로 변경</t>
  </si>
  <si>
    <t>쿼리문</t>
  </si>
  <si>
    <t>정비 요청 등록</t>
  </si>
  <si>
    <t>등록 및 수정 동작에 거래처 선택 모달 연결</t>
  </si>
  <si>
    <t>정비 요청 조회</t>
  </si>
  <si>
    <t>데이터 없을시 표시 문구 변경</t>
  </si>
  <si>
    <t>부품 등록</t>
  </si>
  <si>
    <t>부품 등록 동작의 선택지 동작 변경</t>
  </si>
  <si>
    <t>부품 교체</t>
  </si>
  <si>
    <t>부품 교체 동작시 표시되는 부품 선택 모달의 설비 분류 표시 내용 변경</t>
  </si>
  <si>
    <t>이미지 파일이 없을 경우 메세지 출력</t>
  </si>
  <si>
    <t>정비 요청 등록자 이름 출력</t>
  </si>
  <si>
    <t>설비 등록 기능 동작시 입력창 초기화</t>
  </si>
  <si>
    <t>설비 상세 페이지 이미지 출력 오류 수정</t>
  </si>
  <si>
    <t>설비 등록페이지의 부품 등록시 교체 주기 등록 오류 수정</t>
  </si>
  <si>
    <t>전체 검색시 설비 분류 선택을 무시하던 오류 수정</t>
  </si>
  <si>
    <t>부품 조회</t>
  </si>
  <si>
    <t>조회 페이지에서 거래처 이름 및 교체 주기 출력 표현 수정</t>
  </si>
  <si>
    <t>미반영</t>
  </si>
  <si>
    <t>X</t>
  </si>
  <si>
    <t>미완료</t>
  </si>
  <si>
    <t>설비 상세페이지의 부품 교체기간이 넘었을 경우 붉은 색으로 표현</t>
  </si>
  <si>
    <t>자재주문 4-1</t>
  </si>
  <si>
    <t>표하연</t>
  </si>
  <si>
    <t>자재주문 4-2</t>
  </si>
  <si>
    <t>자재발주 관리 &gt; 발주업체선정 &gt; 거래처 선택없이도 선택 되었다는 알람이 발생함</t>
  </si>
  <si>
    <t>자재주문 4-3</t>
  </si>
  <si>
    <t>자재발주 관리 &gt; 자재주문 &gt; 주문 선택없이도 발주완료 되었다는 알람이 발생함</t>
  </si>
  <si>
    <t>자재발주 관리 &gt; 자재주문 &gt; 'kg','원' 단위 알 수 있도록 표시</t>
  </si>
  <si>
    <t>자재발주 관리 &gt; 개별주문 &gt; 주문이 존재하는 조건에서 개별주문 추가 불가현상 수정</t>
  </si>
  <si>
    <t>자재발주 관리 &gt; 개별주문 &gt; 테이블 리스팅 비정상수량 표출 현상 수정</t>
  </si>
  <si>
    <t>자재발주 관리 &gt; 개별주문 &gt; 개별주문 모달 재고수량에 단위 표기</t>
  </si>
  <si>
    <t>자재 주문 조회</t>
  </si>
  <si>
    <t>자재발주 조회 &gt; 자재가 입고검사 또는 완료되면 취소처리 불가로 변경</t>
  </si>
  <si>
    <t>자재 주문 취소</t>
  </si>
  <si>
    <t>자재발주 조회 &gt; 자재 취소 모달에서 
                    같은 발주서 자재가 입고검사 또는 완료상태이면 발주전체 취소 불가로 변경</t>
  </si>
  <si>
    <t>자재 발주서 출력</t>
  </si>
  <si>
    <t>자재발주 조회 &gt; 발주서 출력 항목에서 취소된 자재는 발주서에 안보이도록 수정</t>
  </si>
  <si>
    <t>자재 입고 처리</t>
  </si>
  <si>
    <t>자재 입고 &gt; 입고 또는 선택입고 버튼의 모달 테이블 헤더 레이아웃 가시성좋게 변경</t>
  </si>
  <si>
    <t>자재 LOT번호 현재고</t>
  </si>
  <si>
    <t>자재 입고조회 &gt; LOT조회 모달의 헤더에 영문폰트 변경 ( Arial )</t>
  </si>
  <si>
    <t>자재 입고조회 &gt; DIV 형태에서 보기 깔끔한 테이블 형태로 레이아웃 수정</t>
  </si>
  <si>
    <t>자재 LOT 재고 조회</t>
  </si>
  <si>
    <t>자재 LOT 조회 &gt; 페이지의 타이틀에 영문폰트 변경 ( Arial )</t>
  </si>
  <si>
    <t>자재 재고 조회</t>
  </si>
  <si>
    <t>자재재고 조회 &gt; 페이지의 검색항목 오탈자 수정 재자 -&gt; 자재</t>
  </si>
  <si>
    <t>폼</t>
  </si>
  <si>
    <t>자재재고 조회 &gt; 페이지의 테이블 리스트 수치단위 [콤마] 추가</t>
  </si>
  <si>
    <t>(공통)자재의 모든화면</t>
  </si>
  <si>
    <t>인풋 텍스트 박스 자동완성기능 제거</t>
  </si>
  <si>
    <t>알람(notify) 기능에 title 과 msg 2가지 내용 송출 =&gt; msg 내용만 송출로 통일</t>
  </si>
  <si>
    <t>모달 헤더라인 색상 통일 #e9ecef (연한회색)</t>
  </si>
  <si>
    <t>모달 풋터라인 버튼 위치변경  [닫기] [선택]또는[등록] 결정버튼이 제일 오른쪽으로</t>
  </si>
  <si>
    <t>검수확인증 모달</t>
  </si>
  <si>
    <t>제목 셀 배경 색상 삽입하여 내용과 제목 구별이 쉽도록 수정</t>
  </si>
  <si>
    <t>(공통) 전체 화면</t>
  </si>
  <si>
    <t>체크박스 색상 및 간격 디자인 수정하기</t>
  </si>
  <si>
    <t>사원관리</t>
  </si>
  <si>
    <t>직급 선택하기</t>
  </si>
  <si>
    <t>직급 누르면 선택가능</t>
  </si>
  <si>
    <t>서민교</t>
  </si>
  <si>
    <t>입력칸 설명</t>
  </si>
  <si>
    <t>입력칸에 설명추가</t>
  </si>
  <si>
    <t>BOM</t>
  </si>
  <si>
    <t>그리드 위치변경</t>
  </si>
  <si>
    <t>BOM제품,자재 위치변경</t>
  </si>
  <si>
    <t>사원 목록</t>
  </si>
  <si>
    <t>제일 마지막에 가입한 사람이 맨 위로 오도록 정렬</t>
  </si>
  <si>
    <t>쿼리문 조정</t>
  </si>
  <si>
    <t>사원 등록</t>
  </si>
  <si>
    <t>부서번호 정하기</t>
  </si>
  <si>
    <t>부서선택시 부서자동입력</t>
  </si>
  <si>
    <t>사원 삭제</t>
  </si>
  <si>
    <t>모달 버튼 너무 큼</t>
  </si>
  <si>
    <t>모달 버튼 크기 줄임</t>
  </si>
  <si>
    <t>모달 배경</t>
  </si>
  <si>
    <t>회색으로</t>
  </si>
  <si>
    <t>배경색 교체</t>
  </si>
  <si>
    <t>bom 관리</t>
  </si>
  <si>
    <t>제품 코드 선택 모달 스타일 수정</t>
  </si>
  <si>
    <t>모달 UI 수정</t>
  </si>
  <si>
    <t>목록에서 조회 버튼 클릭 시 아무 일도 안일어남</t>
  </si>
  <si>
    <t>없어진 코드 찾아서 수정</t>
  </si>
  <si>
    <t xml:space="preserve">bom 관리 </t>
  </si>
  <si>
    <t>선택한 자재 삭제 alert 뜸. 노티로 변경하기</t>
  </si>
  <si>
    <t>노티 넣음</t>
  </si>
  <si>
    <t>공정흐름도</t>
  </si>
  <si>
    <t xml:space="preserve"> 모달 내용 배경색 흰색으로 수정</t>
  </si>
  <si>
    <t xml:space="preserve">모달 타이틀 </t>
  </si>
  <si>
    <t>배경색 회색(#e9ecef)으로 변경</t>
  </si>
  <si>
    <t>중복 공정 등록 불가능하게 수정</t>
  </si>
  <si>
    <t>중복 조건 넣음</t>
  </si>
  <si>
    <t>제품 코드 선택 검색 인풋 박스 추가</t>
  </si>
  <si>
    <t>검색기능 추가</t>
  </si>
  <si>
    <t>자재 목록 아이콘 추가</t>
  </si>
  <si>
    <t>돋보기 아이콘 추가</t>
  </si>
  <si>
    <t xml:space="preserve">자재 삭제 버튼 클릭 </t>
  </si>
  <si>
    <t>노티 뜨도록</t>
  </si>
  <si>
    <t>노티 배경 색 파랑</t>
  </si>
  <si>
    <t>빨강으로 변경</t>
  </si>
  <si>
    <t>색 바꿈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</si>
</sst>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년 &quot;m&quot;월 &quot;d&quot;일&quot;"/>
    <numFmt numFmtId="177" formatCode="yyyy&quot;년&quot;\ m&quot;월&quot;\ d&quot;일&quot;"/>
  </numFmts>
  <fonts count="10">
    <font>
      <sz val="10"/>
      <color rgb="FF000000"/>
      <name val="Malgun Gothic"/>
      <scheme val="minor"/>
    </font>
    <font>
      <b/>
      <sz val="9"/>
      <color rgb="FF000000"/>
      <name val="Gulimche"/>
      <family val="3"/>
      <charset val="129"/>
    </font>
    <font>
      <sz val="9"/>
      <color rgb="FF000000"/>
      <name val="Gulimche"/>
      <family val="3"/>
      <charset val="129"/>
    </font>
    <font>
      <sz val="9"/>
      <color rgb="FF000000"/>
      <name val="Dotum"/>
      <family val="3"/>
      <charset val="129"/>
    </font>
    <font>
      <sz val="10"/>
      <name val="Malgun Gothic"/>
      <family val="3"/>
      <charset val="129"/>
    </font>
    <font>
      <sz val="9"/>
      <color theme="1"/>
      <name val="Dotum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Dotum"/>
      <family val="3"/>
      <charset val="129"/>
    </font>
    <font>
      <sz val="10"/>
      <color theme="1"/>
      <name val="Malgun Gothic"/>
      <family val="3"/>
      <charset val="129"/>
      <scheme val="minor"/>
    </font>
    <font>
      <sz val="8"/>
      <name val="Malgun Gothic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76" fontId="3" fillId="2" borderId="0" xfId="0" applyNumberFormat="1" applyFont="1" applyFill="1" applyAlignment="1">
      <alignment horizontal="center" vertical="center"/>
    </xf>
    <xf numFmtId="0" fontId="5" fillId="0" borderId="0" xfId="0" applyFont="1" applyAlignment="1"/>
    <xf numFmtId="0" fontId="5" fillId="0" borderId="0" xfId="0" applyFont="1"/>
    <xf numFmtId="0" fontId="6" fillId="0" borderId="0" xfId="0" applyFont="1"/>
    <xf numFmtId="0" fontId="3" fillId="2" borderId="0" xfId="0" applyFont="1" applyFill="1" applyAlignment="1">
      <alignment vertical="center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7" xfId="0" applyFont="1" applyBorder="1"/>
    <xf numFmtId="0" fontId="1" fillId="4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76" fontId="1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vertical="center"/>
    </xf>
    <xf numFmtId="0" fontId="2" fillId="6" borderId="7" xfId="0" applyFont="1" applyFill="1" applyBorder="1" applyAlignment="1">
      <alignment horizontal="left" vertical="center" wrapText="1"/>
    </xf>
    <xf numFmtId="176" fontId="3" fillId="6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77" fontId="3" fillId="6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vertical="center"/>
    </xf>
    <xf numFmtId="176" fontId="3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vertical="center"/>
    </xf>
    <xf numFmtId="176" fontId="3" fillId="9" borderId="7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vertical="center"/>
    </xf>
    <xf numFmtId="176" fontId="3" fillId="8" borderId="7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vertical="center"/>
    </xf>
    <xf numFmtId="176" fontId="3" fillId="10" borderId="7" xfId="0" applyNumberFormat="1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vertical="center"/>
    </xf>
    <xf numFmtId="176" fontId="3" fillId="7" borderId="7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3"/>
  <sheetViews>
    <sheetView tabSelected="1" zoomScaleNormal="100" workbookViewId="0">
      <pane ySplit="7" topLeftCell="A8" activePane="bottomLeft" state="frozen"/>
      <selection pane="bottomLeft" activeCell="B16" sqref="B16"/>
    </sheetView>
  </sheetViews>
  <sheetFormatPr defaultColWidth="14.42578125" defaultRowHeight="13.5"/>
  <cols>
    <col min="1" max="1" width="25.28515625" customWidth="1"/>
    <col min="2" max="2" width="101.85546875" customWidth="1"/>
    <col min="3" max="3" width="17.5703125" customWidth="1"/>
    <col min="4" max="4" width="9.140625" bestFit="1" customWidth="1"/>
    <col min="5" max="5" width="16.85546875" customWidth="1"/>
    <col min="6" max="6" width="9.140625" bestFit="1" customWidth="1"/>
    <col min="7" max="7" width="14.140625" bestFit="1" customWidth="1"/>
    <col min="8" max="8" width="17.5703125" customWidth="1"/>
    <col min="9" max="9" width="12.28515625" bestFit="1" customWidth="1"/>
    <col min="10" max="10" width="11.140625" bestFit="1" customWidth="1"/>
    <col min="11" max="26" width="8.7109375" customWidth="1"/>
  </cols>
  <sheetData>
    <row r="1" spans="1:26" ht="11.25" customHeight="1">
      <c r="A1" s="37"/>
      <c r="B1" s="36"/>
      <c r="C1" s="3" t="s">
        <v>1</v>
      </c>
      <c r="D1" s="4">
        <f>COUNTA(D9:D287)</f>
        <v>132</v>
      </c>
      <c r="E1" s="4"/>
      <c r="F1" s="4"/>
      <c r="G1" s="5"/>
      <c r="H1" s="6"/>
      <c r="I1" s="5" t="s">
        <v>2</v>
      </c>
      <c r="J1" s="6">
        <f>COUNTA(#REF!)</f>
        <v>1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1.25" customHeight="1">
      <c r="A2" s="37"/>
      <c r="B2" s="36"/>
      <c r="C2" s="3" t="s">
        <v>3</v>
      </c>
      <c r="D2" s="4">
        <f>COUNTIFS(E9:E297,"결함")</f>
        <v>0</v>
      </c>
      <c r="E2" s="5" t="s">
        <v>4</v>
      </c>
      <c r="F2" s="4">
        <f ca="1">COUNTIFS(E8:E295,"결함",I8:I295,"&lt;="&amp;TODAY())</f>
        <v>0</v>
      </c>
      <c r="G2" s="5" t="s">
        <v>5</v>
      </c>
      <c r="H2" s="6">
        <f>COUNTIFS(F9:F313,"반영")</f>
        <v>130</v>
      </c>
      <c r="I2" s="5" t="s">
        <v>6</v>
      </c>
      <c r="J2" s="6">
        <f ca="1">COUNTIFS(F8:F314,"반영",I8:I314,"&lt;="&amp;TODAY())</f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1.25" customHeight="1">
      <c r="A3" s="37"/>
      <c r="B3" s="36"/>
      <c r="C3" s="3" t="s">
        <v>7</v>
      </c>
      <c r="D3" s="4">
        <f>COUNTIFS(E9:E297,"개선사항")</f>
        <v>0</v>
      </c>
      <c r="E3" s="5" t="s">
        <v>8</v>
      </c>
      <c r="F3" s="4">
        <f ca="1">COUNTIFS(E8:E295,"개선사항",I8:I295,"&lt;="&amp;TODAY())</f>
        <v>0</v>
      </c>
      <c r="G3" s="5" t="s">
        <v>9</v>
      </c>
      <c r="H3" s="6">
        <f>COUNTIFS(F9:F313,"미반영")</f>
        <v>2</v>
      </c>
      <c r="I3" s="4"/>
      <c r="J3" s="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1.25" customHeight="1">
      <c r="A4" s="37"/>
      <c r="B4" s="36"/>
      <c r="C4" s="3" t="s">
        <v>10</v>
      </c>
      <c r="D4" s="4">
        <f>COUNTIFS(E9:E297,"추가사항")</f>
        <v>0</v>
      </c>
      <c r="E4" s="5" t="s">
        <v>11</v>
      </c>
      <c r="F4" s="4">
        <f ca="1">COUNTIFS(E8:E295,"추가사항",I8:I295,"&lt;="&amp;TODAY())</f>
        <v>0</v>
      </c>
      <c r="G4" s="5" t="s">
        <v>12</v>
      </c>
      <c r="H4" s="6">
        <f>COUNTIFS(F9:F314,"보류")</f>
        <v>0</v>
      </c>
      <c r="I4" s="4"/>
      <c r="J4" s="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1.25" customHeight="1">
      <c r="A5" s="37"/>
      <c r="B5" s="37"/>
      <c r="C5" s="3" t="s">
        <v>13</v>
      </c>
      <c r="D5" s="4">
        <f>SUM(D2:D4)</f>
        <v>0</v>
      </c>
      <c r="E5" s="4" t="s">
        <v>13</v>
      </c>
      <c r="F5" s="4">
        <f ca="1">SUM(F2:F4)</f>
        <v>0</v>
      </c>
      <c r="G5" s="4" t="s">
        <v>13</v>
      </c>
      <c r="H5" s="6">
        <f>SUM(H1:H4)</f>
        <v>132</v>
      </c>
      <c r="I5" s="4"/>
      <c r="J5" s="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1.25" customHeight="1">
      <c r="A6" s="37"/>
      <c r="B6" s="36"/>
      <c r="C6" s="38"/>
      <c r="D6" s="8"/>
      <c r="E6" s="8"/>
      <c r="F6" s="8"/>
      <c r="G6" s="8"/>
      <c r="H6" s="2"/>
      <c r="I6" s="8"/>
      <c r="J6" s="2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1.25" customHeight="1">
      <c r="A7" s="40"/>
      <c r="B7" s="40"/>
      <c r="C7" s="40"/>
      <c r="D7" s="40"/>
      <c r="E7" s="41" t="s">
        <v>15</v>
      </c>
      <c r="F7" s="40"/>
      <c r="G7" s="40"/>
      <c r="H7" s="40"/>
      <c r="I7" s="40"/>
      <c r="J7" s="40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1.25" customHeight="1">
      <c r="A8" s="42" t="s">
        <v>20</v>
      </c>
      <c r="B8" s="42" t="s">
        <v>21</v>
      </c>
      <c r="C8" s="43" t="s">
        <v>22</v>
      </c>
      <c r="D8" s="44" t="s">
        <v>23</v>
      </c>
      <c r="E8" s="45" t="s">
        <v>24</v>
      </c>
      <c r="F8" s="45" t="s">
        <v>25</v>
      </c>
      <c r="G8" s="45" t="s">
        <v>26</v>
      </c>
      <c r="H8" s="46" t="s">
        <v>27</v>
      </c>
      <c r="I8" s="46" t="s">
        <v>28</v>
      </c>
      <c r="J8" s="46" t="s">
        <v>29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47" t="s">
        <v>30</v>
      </c>
      <c r="B9" s="48" t="s">
        <v>31</v>
      </c>
      <c r="C9" s="49">
        <v>45661</v>
      </c>
      <c r="D9" s="50">
        <v>1</v>
      </c>
      <c r="E9" s="67" t="s">
        <v>32</v>
      </c>
      <c r="F9" s="50" t="s">
        <v>33</v>
      </c>
      <c r="G9" s="50" t="s">
        <v>34</v>
      </c>
      <c r="H9" s="47" t="s">
        <v>32</v>
      </c>
      <c r="I9" s="50" t="s">
        <v>35</v>
      </c>
      <c r="J9" s="50" t="s">
        <v>36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47" t="s">
        <v>30</v>
      </c>
      <c r="B10" s="48" t="s">
        <v>37</v>
      </c>
      <c r="C10" s="49">
        <v>45661</v>
      </c>
      <c r="D10" s="50">
        <v>1</v>
      </c>
      <c r="E10" s="67" t="s">
        <v>32</v>
      </c>
      <c r="F10" s="50" t="s">
        <v>33</v>
      </c>
      <c r="G10" s="50" t="s">
        <v>34</v>
      </c>
      <c r="H10" s="47" t="s">
        <v>38</v>
      </c>
      <c r="I10" s="50" t="s">
        <v>35</v>
      </c>
      <c r="J10" s="50" t="s">
        <v>36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47" t="s">
        <v>39</v>
      </c>
      <c r="B11" s="48" t="s">
        <v>40</v>
      </c>
      <c r="C11" s="49">
        <v>45661</v>
      </c>
      <c r="D11" s="50">
        <v>1</v>
      </c>
      <c r="E11" s="67" t="s">
        <v>32</v>
      </c>
      <c r="F11" s="50" t="s">
        <v>33</v>
      </c>
      <c r="G11" s="50" t="s">
        <v>34</v>
      </c>
      <c r="H11" s="47" t="s">
        <v>41</v>
      </c>
      <c r="I11" s="50" t="s">
        <v>35</v>
      </c>
      <c r="J11" s="50" t="s">
        <v>36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>
      <c r="A12" s="47" t="s">
        <v>30</v>
      </c>
      <c r="B12" s="48" t="s">
        <v>42</v>
      </c>
      <c r="C12" s="49">
        <v>45662</v>
      </c>
      <c r="D12" s="50">
        <v>1</v>
      </c>
      <c r="E12" s="67" t="s">
        <v>32</v>
      </c>
      <c r="F12" s="50" t="s">
        <v>33</v>
      </c>
      <c r="G12" s="50" t="s">
        <v>34</v>
      </c>
      <c r="H12" s="47" t="s">
        <v>32</v>
      </c>
      <c r="I12" s="50" t="s">
        <v>35</v>
      </c>
      <c r="J12" s="50" t="s">
        <v>36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47" t="s">
        <v>43</v>
      </c>
      <c r="B13" s="48" t="s">
        <v>44</v>
      </c>
      <c r="C13" s="51">
        <v>45662</v>
      </c>
      <c r="D13" s="50">
        <v>2</v>
      </c>
      <c r="E13" s="67" t="s">
        <v>45</v>
      </c>
      <c r="F13" s="50" t="s">
        <v>33</v>
      </c>
      <c r="G13" s="50" t="s">
        <v>34</v>
      </c>
      <c r="H13" s="47" t="s">
        <v>41</v>
      </c>
      <c r="I13" s="50" t="s">
        <v>35</v>
      </c>
      <c r="J13" s="50" t="s">
        <v>36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47" t="s">
        <v>46</v>
      </c>
      <c r="B14" s="48" t="s">
        <v>47</v>
      </c>
      <c r="C14" s="49">
        <v>45662</v>
      </c>
      <c r="D14" s="50">
        <v>1</v>
      </c>
      <c r="E14" s="67" t="s">
        <v>32</v>
      </c>
      <c r="F14" s="50" t="s">
        <v>33</v>
      </c>
      <c r="G14" s="50" t="s">
        <v>34</v>
      </c>
      <c r="H14" s="47" t="s">
        <v>48</v>
      </c>
      <c r="I14" s="50" t="s">
        <v>35</v>
      </c>
      <c r="J14" s="50" t="s">
        <v>36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47" t="s">
        <v>49</v>
      </c>
      <c r="B15" s="48" t="s">
        <v>50</v>
      </c>
      <c r="C15" s="49">
        <v>45662</v>
      </c>
      <c r="D15" s="50">
        <v>1</v>
      </c>
      <c r="E15" s="67" t="s">
        <v>32</v>
      </c>
      <c r="F15" s="50" t="s">
        <v>33</v>
      </c>
      <c r="G15" s="50" t="s">
        <v>34</v>
      </c>
      <c r="H15" s="47" t="s">
        <v>41</v>
      </c>
      <c r="I15" s="50" t="s">
        <v>35</v>
      </c>
      <c r="J15" s="50" t="s">
        <v>36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A16" s="47" t="s">
        <v>51</v>
      </c>
      <c r="B16" s="48" t="s">
        <v>52</v>
      </c>
      <c r="C16" s="49">
        <v>45662</v>
      </c>
      <c r="D16" s="50">
        <v>1</v>
      </c>
      <c r="E16" s="67" t="s">
        <v>32</v>
      </c>
      <c r="F16" s="50" t="s">
        <v>33</v>
      </c>
      <c r="G16" s="50" t="s">
        <v>34</v>
      </c>
      <c r="H16" s="47" t="s">
        <v>48</v>
      </c>
      <c r="I16" s="50" t="s">
        <v>35</v>
      </c>
      <c r="J16" s="50" t="s">
        <v>36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47" t="s">
        <v>53</v>
      </c>
      <c r="B17" s="48" t="s">
        <v>50</v>
      </c>
      <c r="C17" s="49">
        <v>45662</v>
      </c>
      <c r="D17" s="50">
        <v>1</v>
      </c>
      <c r="E17" s="67" t="s">
        <v>32</v>
      </c>
      <c r="F17" s="50" t="s">
        <v>33</v>
      </c>
      <c r="G17" s="50" t="s">
        <v>34</v>
      </c>
      <c r="H17" s="47" t="s">
        <v>41</v>
      </c>
      <c r="I17" s="50" t="s">
        <v>35</v>
      </c>
      <c r="J17" s="50" t="s">
        <v>36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47" t="s">
        <v>54</v>
      </c>
      <c r="B18" s="48" t="s">
        <v>52</v>
      </c>
      <c r="C18" s="49">
        <v>45662</v>
      </c>
      <c r="D18" s="50">
        <v>1</v>
      </c>
      <c r="E18" s="67" t="s">
        <v>32</v>
      </c>
      <c r="F18" s="50" t="s">
        <v>33</v>
      </c>
      <c r="G18" s="50" t="s">
        <v>34</v>
      </c>
      <c r="H18" s="47" t="s">
        <v>48</v>
      </c>
      <c r="I18" s="50" t="s">
        <v>35</v>
      </c>
      <c r="J18" s="50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47" t="s">
        <v>55</v>
      </c>
      <c r="B19" s="48" t="s">
        <v>50</v>
      </c>
      <c r="C19" s="49">
        <v>45662</v>
      </c>
      <c r="D19" s="50">
        <v>1</v>
      </c>
      <c r="E19" s="67" t="s">
        <v>32</v>
      </c>
      <c r="F19" s="50" t="s">
        <v>33</v>
      </c>
      <c r="G19" s="50" t="s">
        <v>34</v>
      </c>
      <c r="H19" s="47" t="s">
        <v>41</v>
      </c>
      <c r="I19" s="50" t="s">
        <v>35</v>
      </c>
      <c r="J19" s="50" t="s">
        <v>36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A20" s="47" t="s">
        <v>56</v>
      </c>
      <c r="B20" s="48" t="s">
        <v>52</v>
      </c>
      <c r="C20" s="49">
        <v>45662</v>
      </c>
      <c r="D20" s="50">
        <v>1</v>
      </c>
      <c r="E20" s="67" t="s">
        <v>32</v>
      </c>
      <c r="F20" s="50" t="s">
        <v>33</v>
      </c>
      <c r="G20" s="50" t="s">
        <v>34</v>
      </c>
      <c r="H20" s="47" t="s">
        <v>48</v>
      </c>
      <c r="I20" s="50" t="s">
        <v>35</v>
      </c>
      <c r="J20" s="50" t="s">
        <v>36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>
      <c r="A21" s="47" t="s">
        <v>57</v>
      </c>
      <c r="B21" s="48" t="s">
        <v>50</v>
      </c>
      <c r="C21" s="49">
        <v>45662</v>
      </c>
      <c r="D21" s="50">
        <v>1</v>
      </c>
      <c r="E21" s="67" t="s">
        <v>32</v>
      </c>
      <c r="F21" s="50" t="s">
        <v>33</v>
      </c>
      <c r="G21" s="50" t="s">
        <v>34</v>
      </c>
      <c r="H21" s="47" t="s">
        <v>41</v>
      </c>
      <c r="I21" s="50" t="s">
        <v>35</v>
      </c>
      <c r="J21" s="50" t="s">
        <v>36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>
      <c r="A22" s="47" t="s">
        <v>58</v>
      </c>
      <c r="B22" s="48" t="s">
        <v>59</v>
      </c>
      <c r="C22" s="49">
        <v>45662</v>
      </c>
      <c r="D22" s="50">
        <v>1</v>
      </c>
      <c r="E22" s="67" t="s">
        <v>32</v>
      </c>
      <c r="F22" s="50" t="s">
        <v>33</v>
      </c>
      <c r="G22" s="50" t="s">
        <v>34</v>
      </c>
      <c r="H22" s="47" t="s">
        <v>48</v>
      </c>
      <c r="I22" s="50" t="s">
        <v>35</v>
      </c>
      <c r="J22" s="50" t="s">
        <v>36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47" t="s">
        <v>60</v>
      </c>
      <c r="B23" s="48" t="s">
        <v>59</v>
      </c>
      <c r="C23" s="49">
        <v>45662</v>
      </c>
      <c r="D23" s="50">
        <v>1</v>
      </c>
      <c r="E23" s="67" t="s">
        <v>32</v>
      </c>
      <c r="F23" s="50" t="s">
        <v>33</v>
      </c>
      <c r="G23" s="50" t="s">
        <v>34</v>
      </c>
      <c r="H23" s="47" t="s">
        <v>48</v>
      </c>
      <c r="I23" s="50" t="s">
        <v>35</v>
      </c>
      <c r="J23" s="50" t="s">
        <v>36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47" t="s">
        <v>61</v>
      </c>
      <c r="B24" s="48" t="s">
        <v>62</v>
      </c>
      <c r="C24" s="49">
        <v>45663</v>
      </c>
      <c r="D24" s="50">
        <v>1</v>
      </c>
      <c r="E24" s="67" t="s">
        <v>32</v>
      </c>
      <c r="F24" s="50" t="s">
        <v>33</v>
      </c>
      <c r="G24" s="50" t="s">
        <v>34</v>
      </c>
      <c r="H24" s="47" t="s">
        <v>48</v>
      </c>
      <c r="I24" s="50" t="s">
        <v>35</v>
      </c>
      <c r="J24" s="50" t="s">
        <v>36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47" t="s">
        <v>61</v>
      </c>
      <c r="B25" s="48" t="s">
        <v>63</v>
      </c>
      <c r="C25" s="49">
        <v>45663</v>
      </c>
      <c r="D25" s="50">
        <v>1</v>
      </c>
      <c r="E25" s="67" t="s">
        <v>32</v>
      </c>
      <c r="F25" s="50" t="s">
        <v>33</v>
      </c>
      <c r="G25" s="50" t="s">
        <v>34</v>
      </c>
      <c r="H25" s="47" t="s">
        <v>48</v>
      </c>
      <c r="I25" s="50" t="s">
        <v>35</v>
      </c>
      <c r="J25" s="50" t="s">
        <v>36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47" t="s">
        <v>64</v>
      </c>
      <c r="B26" s="48" t="s">
        <v>65</v>
      </c>
      <c r="C26" s="49">
        <v>45663</v>
      </c>
      <c r="D26" s="50">
        <v>3</v>
      </c>
      <c r="E26" s="67" t="s">
        <v>32</v>
      </c>
      <c r="F26" s="50" t="s">
        <v>33</v>
      </c>
      <c r="G26" s="50" t="s">
        <v>34</v>
      </c>
      <c r="H26" s="47" t="s">
        <v>38</v>
      </c>
      <c r="I26" s="50" t="s">
        <v>35</v>
      </c>
      <c r="J26" s="50" t="s">
        <v>36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47" t="s">
        <v>58</v>
      </c>
      <c r="B27" s="48" t="s">
        <v>66</v>
      </c>
      <c r="C27" s="49">
        <v>45663</v>
      </c>
      <c r="D27" s="50">
        <v>3</v>
      </c>
      <c r="E27" s="67" t="s">
        <v>32</v>
      </c>
      <c r="F27" s="50" t="s">
        <v>33</v>
      </c>
      <c r="G27" s="50" t="s">
        <v>34</v>
      </c>
      <c r="H27" s="47" t="s">
        <v>48</v>
      </c>
      <c r="I27" s="50" t="s">
        <v>35</v>
      </c>
      <c r="J27" s="50" t="s">
        <v>36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47" t="s">
        <v>67</v>
      </c>
      <c r="B28" s="48" t="s">
        <v>68</v>
      </c>
      <c r="C28" s="49">
        <v>45663</v>
      </c>
      <c r="D28" s="50">
        <v>2</v>
      </c>
      <c r="E28" s="67" t="s">
        <v>32</v>
      </c>
      <c r="F28" s="50" t="s">
        <v>33</v>
      </c>
      <c r="G28" s="50" t="s">
        <v>34</v>
      </c>
      <c r="H28" s="47" t="s">
        <v>41</v>
      </c>
      <c r="I28" s="50" t="s">
        <v>35</v>
      </c>
      <c r="J28" s="50" t="s">
        <v>36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47" t="s">
        <v>30</v>
      </c>
      <c r="B29" s="48" t="s">
        <v>69</v>
      </c>
      <c r="C29" s="49">
        <v>45663</v>
      </c>
      <c r="D29" s="50">
        <v>1</v>
      </c>
      <c r="E29" s="67" t="s">
        <v>45</v>
      </c>
      <c r="F29" s="50" t="s">
        <v>33</v>
      </c>
      <c r="G29" s="50" t="s">
        <v>34</v>
      </c>
      <c r="H29" s="47" t="s">
        <v>32</v>
      </c>
      <c r="I29" s="50" t="s">
        <v>35</v>
      </c>
      <c r="J29" s="50" t="s">
        <v>36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52" t="s">
        <v>70</v>
      </c>
      <c r="B30" s="69" t="s">
        <v>71</v>
      </c>
      <c r="C30" s="53">
        <v>45660</v>
      </c>
      <c r="D30" s="54">
        <v>3</v>
      </c>
      <c r="E30" s="54" t="s">
        <v>32</v>
      </c>
      <c r="F30" s="54" t="s">
        <v>33</v>
      </c>
      <c r="G30" s="54" t="s">
        <v>34</v>
      </c>
      <c r="H30" s="52" t="s">
        <v>72</v>
      </c>
      <c r="I30" s="54" t="s">
        <v>35</v>
      </c>
      <c r="J30" s="54" t="s">
        <v>73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52" t="s">
        <v>74</v>
      </c>
      <c r="B31" s="69" t="s">
        <v>75</v>
      </c>
      <c r="C31" s="53">
        <v>45660</v>
      </c>
      <c r="D31" s="54">
        <v>2</v>
      </c>
      <c r="E31" s="54" t="s">
        <v>32</v>
      </c>
      <c r="F31" s="54" t="s">
        <v>33</v>
      </c>
      <c r="G31" s="54" t="s">
        <v>34</v>
      </c>
      <c r="H31" s="52" t="s">
        <v>76</v>
      </c>
      <c r="I31" s="54" t="s">
        <v>35</v>
      </c>
      <c r="J31" s="54" t="s">
        <v>73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52" t="s">
        <v>74</v>
      </c>
      <c r="B32" s="69" t="s">
        <v>77</v>
      </c>
      <c r="C32" s="53">
        <v>45660</v>
      </c>
      <c r="D32" s="54">
        <v>1</v>
      </c>
      <c r="E32" s="54" t="s">
        <v>32</v>
      </c>
      <c r="F32" s="54" t="s">
        <v>33</v>
      </c>
      <c r="G32" s="54" t="s">
        <v>34</v>
      </c>
      <c r="H32" s="52" t="s">
        <v>76</v>
      </c>
      <c r="I32" s="54" t="s">
        <v>35</v>
      </c>
      <c r="J32" s="54" t="s">
        <v>73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52" t="s">
        <v>74</v>
      </c>
      <c r="B33" s="69" t="s">
        <v>78</v>
      </c>
      <c r="C33" s="53">
        <v>45660</v>
      </c>
      <c r="D33" s="54">
        <v>1</v>
      </c>
      <c r="E33" s="54" t="s">
        <v>45</v>
      </c>
      <c r="F33" s="54" t="s">
        <v>33</v>
      </c>
      <c r="G33" s="54" t="s">
        <v>34</v>
      </c>
      <c r="H33" s="52" t="s">
        <v>79</v>
      </c>
      <c r="I33" s="54" t="s">
        <v>35</v>
      </c>
      <c r="J33" s="54" t="s">
        <v>73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52" t="s">
        <v>80</v>
      </c>
      <c r="B34" s="70" t="s">
        <v>81</v>
      </c>
      <c r="C34" s="53">
        <v>45660</v>
      </c>
      <c r="D34" s="54">
        <v>1</v>
      </c>
      <c r="E34" s="54" t="s">
        <v>82</v>
      </c>
      <c r="F34" s="54" t="s">
        <v>33</v>
      </c>
      <c r="G34" s="54" t="s">
        <v>34</v>
      </c>
      <c r="H34" s="52" t="s">
        <v>83</v>
      </c>
      <c r="I34" s="54" t="s">
        <v>35</v>
      </c>
      <c r="J34" s="54" t="s">
        <v>73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52" t="s">
        <v>74</v>
      </c>
      <c r="B35" s="69" t="s">
        <v>84</v>
      </c>
      <c r="C35" s="53">
        <v>45660</v>
      </c>
      <c r="D35" s="54">
        <v>1</v>
      </c>
      <c r="E35" s="54" t="s">
        <v>45</v>
      </c>
      <c r="F35" s="54" t="s">
        <v>33</v>
      </c>
      <c r="G35" s="54" t="s">
        <v>34</v>
      </c>
      <c r="H35" s="52" t="s">
        <v>79</v>
      </c>
      <c r="I35" s="54" t="s">
        <v>35</v>
      </c>
      <c r="J35" s="54" t="s">
        <v>73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52" t="s">
        <v>85</v>
      </c>
      <c r="B36" s="69" t="s">
        <v>86</v>
      </c>
      <c r="C36" s="53">
        <v>45660</v>
      </c>
      <c r="D36" s="54">
        <v>1</v>
      </c>
      <c r="E36" s="54" t="s">
        <v>45</v>
      </c>
      <c r="F36" s="54" t="s">
        <v>33</v>
      </c>
      <c r="G36" s="54" t="s">
        <v>34</v>
      </c>
      <c r="H36" s="52" t="s">
        <v>87</v>
      </c>
      <c r="I36" s="54" t="s">
        <v>35</v>
      </c>
      <c r="J36" s="54" t="s">
        <v>73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52" t="s">
        <v>85</v>
      </c>
      <c r="B37" s="69" t="s">
        <v>88</v>
      </c>
      <c r="C37" s="53">
        <v>45660</v>
      </c>
      <c r="D37" s="54">
        <v>1</v>
      </c>
      <c r="E37" s="54" t="s">
        <v>82</v>
      </c>
      <c r="F37" s="54" t="s">
        <v>33</v>
      </c>
      <c r="G37" s="54" t="s">
        <v>34</v>
      </c>
      <c r="H37" s="52" t="s">
        <v>89</v>
      </c>
      <c r="I37" s="54" t="s">
        <v>35</v>
      </c>
      <c r="J37" s="54" t="s">
        <v>73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52" t="s">
        <v>85</v>
      </c>
      <c r="B38" s="69" t="s">
        <v>90</v>
      </c>
      <c r="C38" s="53">
        <v>45660</v>
      </c>
      <c r="D38" s="54">
        <v>1</v>
      </c>
      <c r="E38" s="54" t="s">
        <v>82</v>
      </c>
      <c r="F38" s="54" t="s">
        <v>33</v>
      </c>
      <c r="G38" s="54" t="s">
        <v>34</v>
      </c>
      <c r="H38" s="52" t="s">
        <v>91</v>
      </c>
      <c r="I38" s="54" t="s">
        <v>35</v>
      </c>
      <c r="J38" s="54" t="s">
        <v>73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52" t="s">
        <v>74</v>
      </c>
      <c r="B39" s="69" t="s">
        <v>92</v>
      </c>
      <c r="C39" s="53">
        <v>45663</v>
      </c>
      <c r="D39" s="54">
        <v>1</v>
      </c>
      <c r="E39" s="54" t="s">
        <v>32</v>
      </c>
      <c r="F39" s="54" t="s">
        <v>33</v>
      </c>
      <c r="G39" s="54" t="s">
        <v>34</v>
      </c>
      <c r="H39" s="52" t="s">
        <v>76</v>
      </c>
      <c r="I39" s="54" t="s">
        <v>35</v>
      </c>
      <c r="J39" s="54" t="s">
        <v>73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52" t="s">
        <v>93</v>
      </c>
      <c r="B40" s="69" t="s">
        <v>94</v>
      </c>
      <c r="C40" s="53">
        <v>45663</v>
      </c>
      <c r="D40" s="54">
        <v>1</v>
      </c>
      <c r="E40" s="54" t="s">
        <v>45</v>
      </c>
      <c r="F40" s="54" t="s">
        <v>33</v>
      </c>
      <c r="G40" s="54" t="s">
        <v>34</v>
      </c>
      <c r="H40" s="52" t="s">
        <v>95</v>
      </c>
      <c r="I40" s="54" t="s">
        <v>35</v>
      </c>
      <c r="J40" s="54" t="s">
        <v>73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52" t="s">
        <v>80</v>
      </c>
      <c r="B41" s="69" t="s">
        <v>96</v>
      </c>
      <c r="C41" s="53">
        <v>45663</v>
      </c>
      <c r="D41" s="54">
        <v>2</v>
      </c>
      <c r="E41" s="54" t="s">
        <v>32</v>
      </c>
      <c r="F41" s="54" t="s">
        <v>33</v>
      </c>
      <c r="G41" s="54" t="s">
        <v>34</v>
      </c>
      <c r="H41" s="52" t="s">
        <v>76</v>
      </c>
      <c r="I41" s="54" t="s">
        <v>35</v>
      </c>
      <c r="J41" s="54" t="s">
        <v>73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52" t="s">
        <v>85</v>
      </c>
      <c r="B42" s="69" t="s">
        <v>97</v>
      </c>
      <c r="C42" s="53">
        <v>45663</v>
      </c>
      <c r="D42" s="54">
        <v>3</v>
      </c>
      <c r="E42" s="54" t="s">
        <v>32</v>
      </c>
      <c r="F42" s="54" t="s">
        <v>33</v>
      </c>
      <c r="G42" s="54" t="s">
        <v>34</v>
      </c>
      <c r="H42" s="52" t="s">
        <v>76</v>
      </c>
      <c r="I42" s="54" t="s">
        <v>35</v>
      </c>
      <c r="J42" s="54" t="s">
        <v>73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52" t="s">
        <v>85</v>
      </c>
      <c r="B43" s="69" t="s">
        <v>98</v>
      </c>
      <c r="C43" s="53">
        <v>45663</v>
      </c>
      <c r="D43" s="54">
        <v>2</v>
      </c>
      <c r="E43" s="54" t="s">
        <v>45</v>
      </c>
      <c r="F43" s="54" t="s">
        <v>33</v>
      </c>
      <c r="G43" s="54" t="s">
        <v>34</v>
      </c>
      <c r="H43" s="52" t="s">
        <v>99</v>
      </c>
      <c r="I43" s="54" t="s">
        <v>35</v>
      </c>
      <c r="J43" s="54" t="s">
        <v>73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52" t="s">
        <v>85</v>
      </c>
      <c r="B44" s="69" t="s">
        <v>100</v>
      </c>
      <c r="C44" s="53">
        <v>45663</v>
      </c>
      <c r="D44" s="54">
        <v>1</v>
      </c>
      <c r="E44" s="54" t="s">
        <v>45</v>
      </c>
      <c r="F44" s="54" t="s">
        <v>33</v>
      </c>
      <c r="G44" s="54" t="s">
        <v>34</v>
      </c>
      <c r="H44" s="52" t="s">
        <v>101</v>
      </c>
      <c r="I44" s="54" t="s">
        <v>35</v>
      </c>
      <c r="J44" s="54" t="s">
        <v>73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52" t="s">
        <v>93</v>
      </c>
      <c r="B45" s="69" t="s">
        <v>102</v>
      </c>
      <c r="C45" s="53">
        <v>45663</v>
      </c>
      <c r="D45" s="54">
        <v>1</v>
      </c>
      <c r="E45" s="54" t="s">
        <v>45</v>
      </c>
      <c r="F45" s="54" t="s">
        <v>33</v>
      </c>
      <c r="G45" s="54" t="s">
        <v>34</v>
      </c>
      <c r="H45" s="52" t="s">
        <v>103</v>
      </c>
      <c r="I45" s="54" t="s">
        <v>35</v>
      </c>
      <c r="J45" s="54" t="s">
        <v>73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52" t="s">
        <v>104</v>
      </c>
      <c r="B46" s="69" t="s">
        <v>105</v>
      </c>
      <c r="C46" s="53">
        <v>45663</v>
      </c>
      <c r="D46" s="54">
        <v>1</v>
      </c>
      <c r="E46" s="54" t="s">
        <v>82</v>
      </c>
      <c r="F46" s="54" t="s">
        <v>33</v>
      </c>
      <c r="G46" s="54" t="s">
        <v>34</v>
      </c>
      <c r="H46" s="52" t="s">
        <v>106</v>
      </c>
      <c r="I46" s="54" t="s">
        <v>35</v>
      </c>
      <c r="J46" s="54" t="s">
        <v>73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52" t="s">
        <v>104</v>
      </c>
      <c r="B47" s="69" t="s">
        <v>107</v>
      </c>
      <c r="C47" s="53">
        <v>45663</v>
      </c>
      <c r="D47" s="54">
        <v>1</v>
      </c>
      <c r="E47" s="54" t="s">
        <v>82</v>
      </c>
      <c r="F47" s="54" t="s">
        <v>33</v>
      </c>
      <c r="G47" s="54" t="s">
        <v>34</v>
      </c>
      <c r="H47" s="52" t="s">
        <v>108</v>
      </c>
      <c r="I47" s="54" t="s">
        <v>35</v>
      </c>
      <c r="J47" s="54" t="s">
        <v>73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52" t="s">
        <v>93</v>
      </c>
      <c r="B48" s="69" t="s">
        <v>109</v>
      </c>
      <c r="C48" s="53">
        <v>45663</v>
      </c>
      <c r="D48" s="54">
        <v>2</v>
      </c>
      <c r="E48" s="54" t="s">
        <v>45</v>
      </c>
      <c r="F48" s="54" t="s">
        <v>33</v>
      </c>
      <c r="G48" s="54" t="s">
        <v>34</v>
      </c>
      <c r="H48" s="52" t="s">
        <v>110</v>
      </c>
      <c r="I48" s="54" t="s">
        <v>35</v>
      </c>
      <c r="J48" s="54" t="s">
        <v>73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52" t="s">
        <v>93</v>
      </c>
      <c r="B49" s="69" t="s">
        <v>111</v>
      </c>
      <c r="C49" s="53">
        <v>45663</v>
      </c>
      <c r="D49" s="54">
        <v>1</v>
      </c>
      <c r="E49" s="54" t="s">
        <v>45</v>
      </c>
      <c r="F49" s="54" t="s">
        <v>33</v>
      </c>
      <c r="G49" s="54" t="s">
        <v>34</v>
      </c>
      <c r="H49" s="52" t="s">
        <v>112</v>
      </c>
      <c r="I49" s="54" t="s">
        <v>35</v>
      </c>
      <c r="J49" s="54" t="s">
        <v>73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55" t="s">
        <v>113</v>
      </c>
      <c r="B50" s="71" t="s">
        <v>114</v>
      </c>
      <c r="C50" s="56">
        <v>45663</v>
      </c>
      <c r="D50" s="57">
        <v>3</v>
      </c>
      <c r="E50" s="57"/>
      <c r="F50" s="57" t="s">
        <v>33</v>
      </c>
      <c r="G50" s="57" t="s">
        <v>34</v>
      </c>
      <c r="H50" s="55"/>
      <c r="I50" s="57" t="s">
        <v>33</v>
      </c>
      <c r="J50" s="57" t="s">
        <v>115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55" t="s">
        <v>116</v>
      </c>
      <c r="B51" s="71" t="s">
        <v>117</v>
      </c>
      <c r="C51" s="56">
        <v>45660</v>
      </c>
      <c r="D51" s="57">
        <v>1</v>
      </c>
      <c r="E51" s="57" t="s">
        <v>32</v>
      </c>
      <c r="F51" s="57" t="s">
        <v>33</v>
      </c>
      <c r="G51" s="57" t="s">
        <v>34</v>
      </c>
      <c r="H51" s="55" t="s">
        <v>118</v>
      </c>
      <c r="I51" s="57" t="s">
        <v>33</v>
      </c>
      <c r="J51" s="57" t="s">
        <v>115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55" t="s">
        <v>116</v>
      </c>
      <c r="B52" s="71" t="s">
        <v>119</v>
      </c>
      <c r="C52" s="56">
        <v>45660</v>
      </c>
      <c r="D52" s="57">
        <v>1</v>
      </c>
      <c r="E52" s="57" t="s">
        <v>32</v>
      </c>
      <c r="F52" s="57" t="s">
        <v>33</v>
      </c>
      <c r="G52" s="57" t="s">
        <v>34</v>
      </c>
      <c r="H52" s="55" t="s">
        <v>32</v>
      </c>
      <c r="I52" s="57" t="s">
        <v>33</v>
      </c>
      <c r="J52" s="57" t="s">
        <v>115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>
      <c r="A53" s="55" t="s">
        <v>120</v>
      </c>
      <c r="B53" s="71" t="s">
        <v>121</v>
      </c>
      <c r="C53" s="56">
        <v>45660</v>
      </c>
      <c r="D53" s="57">
        <v>1</v>
      </c>
      <c r="E53" s="57" t="s">
        <v>32</v>
      </c>
      <c r="F53" s="57" t="s">
        <v>33</v>
      </c>
      <c r="G53" s="57" t="s">
        <v>34</v>
      </c>
      <c r="H53" s="55" t="s">
        <v>32</v>
      </c>
      <c r="I53" s="57" t="s">
        <v>33</v>
      </c>
      <c r="J53" s="57" t="s">
        <v>115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55" t="s">
        <v>122</v>
      </c>
      <c r="B54" s="71" t="s">
        <v>123</v>
      </c>
      <c r="C54" s="56">
        <v>45660</v>
      </c>
      <c r="D54" s="57">
        <v>2</v>
      </c>
      <c r="E54" s="57" t="s">
        <v>32</v>
      </c>
      <c r="F54" s="57" t="s">
        <v>33</v>
      </c>
      <c r="G54" s="57" t="s">
        <v>34</v>
      </c>
      <c r="H54" s="55" t="s">
        <v>32</v>
      </c>
      <c r="I54" s="57" t="s">
        <v>33</v>
      </c>
      <c r="J54" s="57" t="s">
        <v>115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55" t="s">
        <v>124</v>
      </c>
      <c r="B55" s="71" t="s">
        <v>125</v>
      </c>
      <c r="C55" s="56">
        <v>45660</v>
      </c>
      <c r="D55" s="57">
        <v>2</v>
      </c>
      <c r="E55" s="57" t="s">
        <v>32</v>
      </c>
      <c r="F55" s="57" t="s">
        <v>33</v>
      </c>
      <c r="G55" s="57" t="s">
        <v>34</v>
      </c>
      <c r="H55" s="55" t="s">
        <v>32</v>
      </c>
      <c r="I55" s="57" t="s">
        <v>33</v>
      </c>
      <c r="J55" s="57" t="s">
        <v>115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55" t="s">
        <v>126</v>
      </c>
      <c r="B56" s="71" t="s">
        <v>127</v>
      </c>
      <c r="C56" s="56">
        <v>45660</v>
      </c>
      <c r="D56" s="57">
        <v>2</v>
      </c>
      <c r="E56" s="57" t="s">
        <v>32</v>
      </c>
      <c r="F56" s="57" t="s">
        <v>33</v>
      </c>
      <c r="G56" s="57" t="s">
        <v>34</v>
      </c>
      <c r="H56" s="55" t="s">
        <v>32</v>
      </c>
      <c r="I56" s="57" t="s">
        <v>33</v>
      </c>
      <c r="J56" s="57" t="s">
        <v>115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55" t="s">
        <v>128</v>
      </c>
      <c r="B57" s="71" t="s">
        <v>129</v>
      </c>
      <c r="C57" s="56">
        <v>45660</v>
      </c>
      <c r="D57" s="57">
        <v>2</v>
      </c>
      <c r="E57" s="57" t="s">
        <v>32</v>
      </c>
      <c r="F57" s="57" t="s">
        <v>33</v>
      </c>
      <c r="G57" s="57" t="s">
        <v>34</v>
      </c>
      <c r="H57" s="55" t="s">
        <v>32</v>
      </c>
      <c r="I57" s="57" t="s">
        <v>33</v>
      </c>
      <c r="J57" s="57" t="s">
        <v>115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55" t="s">
        <v>130</v>
      </c>
      <c r="B58" s="71" t="s">
        <v>131</v>
      </c>
      <c r="C58" s="56">
        <v>45660</v>
      </c>
      <c r="D58" s="57">
        <v>1</v>
      </c>
      <c r="E58" s="57" t="s">
        <v>32</v>
      </c>
      <c r="F58" s="57" t="s">
        <v>33</v>
      </c>
      <c r="G58" s="57" t="s">
        <v>34</v>
      </c>
      <c r="H58" s="55" t="s">
        <v>32</v>
      </c>
      <c r="I58" s="57" t="s">
        <v>33</v>
      </c>
      <c r="J58" s="57" t="s">
        <v>115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>
      <c r="A59" s="55" t="s">
        <v>132</v>
      </c>
      <c r="B59" s="71" t="s">
        <v>133</v>
      </c>
      <c r="C59" s="56">
        <v>45660</v>
      </c>
      <c r="D59" s="57">
        <v>1</v>
      </c>
      <c r="E59" s="57" t="s">
        <v>32</v>
      </c>
      <c r="F59" s="57" t="s">
        <v>33</v>
      </c>
      <c r="G59" s="57" t="s">
        <v>34</v>
      </c>
      <c r="H59" s="55" t="s">
        <v>32</v>
      </c>
      <c r="I59" s="57" t="s">
        <v>33</v>
      </c>
      <c r="J59" s="57" t="s">
        <v>115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>
      <c r="A60" s="55" t="s">
        <v>134</v>
      </c>
      <c r="B60" s="71" t="s">
        <v>135</v>
      </c>
      <c r="C60" s="56">
        <v>45660</v>
      </c>
      <c r="D60" s="57">
        <v>2</v>
      </c>
      <c r="E60" s="57" t="s">
        <v>32</v>
      </c>
      <c r="F60" s="57" t="s">
        <v>33</v>
      </c>
      <c r="G60" s="57" t="s">
        <v>34</v>
      </c>
      <c r="H60" s="55" t="s">
        <v>32</v>
      </c>
      <c r="I60" s="57" t="s">
        <v>33</v>
      </c>
      <c r="J60" s="57" t="s">
        <v>115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55" t="s">
        <v>136</v>
      </c>
      <c r="B61" s="71" t="s">
        <v>137</v>
      </c>
      <c r="C61" s="56">
        <v>45663</v>
      </c>
      <c r="D61" s="57">
        <v>1</v>
      </c>
      <c r="E61" s="57" t="s">
        <v>32</v>
      </c>
      <c r="F61" s="57" t="s">
        <v>33</v>
      </c>
      <c r="G61" s="57" t="s">
        <v>34</v>
      </c>
      <c r="H61" s="55" t="s">
        <v>32</v>
      </c>
      <c r="I61" s="57" t="s">
        <v>33</v>
      </c>
      <c r="J61" s="57" t="s">
        <v>115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55" t="s">
        <v>138</v>
      </c>
      <c r="B62" s="71" t="s">
        <v>139</v>
      </c>
      <c r="C62" s="56">
        <v>45663</v>
      </c>
      <c r="D62" s="57">
        <v>3</v>
      </c>
      <c r="E62" s="57" t="s">
        <v>32</v>
      </c>
      <c r="F62" s="57" t="s">
        <v>33</v>
      </c>
      <c r="G62" s="57" t="s">
        <v>34</v>
      </c>
      <c r="H62" s="55" t="s">
        <v>32</v>
      </c>
      <c r="I62" s="57" t="s">
        <v>33</v>
      </c>
      <c r="J62" s="57" t="s">
        <v>115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>
      <c r="A63" s="55" t="s">
        <v>124</v>
      </c>
      <c r="B63" s="71" t="s">
        <v>140</v>
      </c>
      <c r="C63" s="56">
        <v>45663</v>
      </c>
      <c r="D63" s="57">
        <v>1</v>
      </c>
      <c r="E63" s="57" t="s">
        <v>45</v>
      </c>
      <c r="F63" s="57" t="s">
        <v>33</v>
      </c>
      <c r="G63" s="57" t="s">
        <v>34</v>
      </c>
      <c r="H63" s="55" t="s">
        <v>141</v>
      </c>
      <c r="I63" s="57" t="s">
        <v>33</v>
      </c>
      <c r="J63" s="57" t="s">
        <v>115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55" t="s">
        <v>142</v>
      </c>
      <c r="B64" s="71" t="s">
        <v>143</v>
      </c>
      <c r="C64" s="56">
        <v>45663</v>
      </c>
      <c r="D64" s="57">
        <v>1</v>
      </c>
      <c r="E64" s="57" t="s">
        <v>45</v>
      </c>
      <c r="F64" s="57" t="s">
        <v>33</v>
      </c>
      <c r="G64" s="57" t="s">
        <v>34</v>
      </c>
      <c r="H64" s="55" t="s">
        <v>141</v>
      </c>
      <c r="I64" s="57" t="s">
        <v>33</v>
      </c>
      <c r="J64" s="57" t="s">
        <v>115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>
      <c r="A65" s="58" t="s">
        <v>144</v>
      </c>
      <c r="B65" s="72" t="s">
        <v>145</v>
      </c>
      <c r="C65" s="59">
        <v>45660</v>
      </c>
      <c r="D65" s="60">
        <v>1</v>
      </c>
      <c r="E65" s="60" t="s">
        <v>32</v>
      </c>
      <c r="F65" s="60" t="s">
        <v>33</v>
      </c>
      <c r="G65" s="60" t="s">
        <v>34</v>
      </c>
      <c r="H65" s="58" t="s">
        <v>32</v>
      </c>
      <c r="I65" s="60" t="s">
        <v>35</v>
      </c>
      <c r="J65" s="60" t="s">
        <v>146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>
      <c r="A66" s="58" t="s">
        <v>144</v>
      </c>
      <c r="B66" s="72" t="s">
        <v>147</v>
      </c>
      <c r="C66" s="59">
        <v>45660</v>
      </c>
      <c r="D66" s="60">
        <v>1</v>
      </c>
      <c r="E66" s="60" t="s">
        <v>32</v>
      </c>
      <c r="F66" s="60" t="s">
        <v>33</v>
      </c>
      <c r="G66" s="60" t="s">
        <v>34</v>
      </c>
      <c r="H66" s="58" t="s">
        <v>32</v>
      </c>
      <c r="I66" s="60" t="s">
        <v>35</v>
      </c>
      <c r="J66" s="60" t="s">
        <v>146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58" t="s">
        <v>144</v>
      </c>
      <c r="B67" s="72" t="s">
        <v>148</v>
      </c>
      <c r="C67" s="59">
        <v>45660</v>
      </c>
      <c r="D67" s="60">
        <v>1</v>
      </c>
      <c r="E67" s="60" t="s">
        <v>32</v>
      </c>
      <c r="F67" s="60" t="s">
        <v>33</v>
      </c>
      <c r="G67" s="60" t="s">
        <v>34</v>
      </c>
      <c r="H67" s="58" t="s">
        <v>32</v>
      </c>
      <c r="I67" s="60" t="s">
        <v>35</v>
      </c>
      <c r="J67" s="60" t="s">
        <v>146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58" t="s">
        <v>144</v>
      </c>
      <c r="B68" s="72" t="s">
        <v>149</v>
      </c>
      <c r="C68" s="59">
        <v>45660</v>
      </c>
      <c r="D68" s="60">
        <v>1</v>
      </c>
      <c r="E68" s="60" t="s">
        <v>32</v>
      </c>
      <c r="F68" s="60" t="s">
        <v>33</v>
      </c>
      <c r="G68" s="60" t="s">
        <v>34</v>
      </c>
      <c r="H68" s="58" t="s">
        <v>32</v>
      </c>
      <c r="I68" s="60" t="s">
        <v>35</v>
      </c>
      <c r="J68" s="60" t="s">
        <v>146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58" t="s">
        <v>144</v>
      </c>
      <c r="B69" s="72" t="s">
        <v>150</v>
      </c>
      <c r="C69" s="59">
        <v>45660</v>
      </c>
      <c r="D69" s="60">
        <v>1</v>
      </c>
      <c r="E69" s="60" t="s">
        <v>32</v>
      </c>
      <c r="F69" s="60" t="s">
        <v>33</v>
      </c>
      <c r="G69" s="60" t="s">
        <v>34</v>
      </c>
      <c r="H69" s="58" t="s">
        <v>32</v>
      </c>
      <c r="I69" s="60" t="s">
        <v>35</v>
      </c>
      <c r="J69" s="60" t="s">
        <v>146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58" t="s">
        <v>144</v>
      </c>
      <c r="B70" s="72" t="s">
        <v>151</v>
      </c>
      <c r="C70" s="59">
        <v>45660</v>
      </c>
      <c r="D70" s="60">
        <v>1</v>
      </c>
      <c r="E70" s="60" t="s">
        <v>32</v>
      </c>
      <c r="F70" s="60" t="s">
        <v>33</v>
      </c>
      <c r="G70" s="60" t="s">
        <v>34</v>
      </c>
      <c r="H70" s="58" t="s">
        <v>32</v>
      </c>
      <c r="I70" s="60" t="s">
        <v>35</v>
      </c>
      <c r="J70" s="60" t="s">
        <v>146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58" t="s">
        <v>152</v>
      </c>
      <c r="B71" s="72" t="s">
        <v>153</v>
      </c>
      <c r="C71" s="59">
        <v>45660</v>
      </c>
      <c r="D71" s="60">
        <v>2</v>
      </c>
      <c r="E71" s="60" t="s">
        <v>45</v>
      </c>
      <c r="F71" s="60" t="s">
        <v>33</v>
      </c>
      <c r="G71" s="60" t="s">
        <v>34</v>
      </c>
      <c r="H71" s="58" t="s">
        <v>118</v>
      </c>
      <c r="I71" s="60" t="s">
        <v>35</v>
      </c>
      <c r="J71" s="60" t="s">
        <v>146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58" t="s">
        <v>152</v>
      </c>
      <c r="B72" s="72" t="s">
        <v>154</v>
      </c>
      <c r="C72" s="59">
        <v>45660</v>
      </c>
      <c r="D72" s="60">
        <v>2</v>
      </c>
      <c r="E72" s="60" t="s">
        <v>45</v>
      </c>
      <c r="F72" s="60" t="s">
        <v>33</v>
      </c>
      <c r="G72" s="60" t="s">
        <v>34</v>
      </c>
      <c r="H72" s="58" t="s">
        <v>141</v>
      </c>
      <c r="I72" s="60" t="s">
        <v>35</v>
      </c>
      <c r="J72" s="60" t="s">
        <v>146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58" t="s">
        <v>155</v>
      </c>
      <c r="B73" s="72" t="s">
        <v>156</v>
      </c>
      <c r="C73" s="59">
        <v>45660</v>
      </c>
      <c r="D73" s="60">
        <v>1</v>
      </c>
      <c r="E73" s="60" t="s">
        <v>32</v>
      </c>
      <c r="F73" s="60" t="s">
        <v>33</v>
      </c>
      <c r="G73" s="60" t="s">
        <v>34</v>
      </c>
      <c r="H73" s="58" t="s">
        <v>32</v>
      </c>
      <c r="I73" s="60" t="s">
        <v>35</v>
      </c>
      <c r="J73" s="60" t="s">
        <v>146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58" t="s">
        <v>155</v>
      </c>
      <c r="B74" s="72" t="s">
        <v>157</v>
      </c>
      <c r="C74" s="59">
        <v>45660</v>
      </c>
      <c r="D74" s="60">
        <v>2</v>
      </c>
      <c r="E74" s="60" t="s">
        <v>45</v>
      </c>
      <c r="F74" s="60" t="s">
        <v>33</v>
      </c>
      <c r="G74" s="60" t="s">
        <v>34</v>
      </c>
      <c r="H74" s="58" t="s">
        <v>32</v>
      </c>
      <c r="I74" s="60" t="s">
        <v>35</v>
      </c>
      <c r="J74" s="60" t="s">
        <v>146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58" t="s">
        <v>158</v>
      </c>
      <c r="B75" s="72" t="s">
        <v>159</v>
      </c>
      <c r="C75" s="59">
        <v>45660</v>
      </c>
      <c r="D75" s="60">
        <v>1</v>
      </c>
      <c r="E75" s="60" t="s">
        <v>32</v>
      </c>
      <c r="F75" s="60" t="s">
        <v>33</v>
      </c>
      <c r="G75" s="60" t="s">
        <v>34</v>
      </c>
      <c r="H75" s="58" t="s">
        <v>32</v>
      </c>
      <c r="I75" s="60" t="s">
        <v>35</v>
      </c>
      <c r="J75" s="60" t="s">
        <v>146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58" t="s">
        <v>158</v>
      </c>
      <c r="B76" s="72" t="s">
        <v>160</v>
      </c>
      <c r="C76" s="59">
        <v>45660</v>
      </c>
      <c r="D76" s="60">
        <v>1</v>
      </c>
      <c r="E76" s="60" t="s">
        <v>32</v>
      </c>
      <c r="F76" s="60" t="s">
        <v>33</v>
      </c>
      <c r="G76" s="60" t="s">
        <v>34</v>
      </c>
      <c r="H76" s="58" t="s">
        <v>32</v>
      </c>
      <c r="I76" s="60" t="s">
        <v>35</v>
      </c>
      <c r="J76" s="60" t="s">
        <v>146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58" t="s">
        <v>158</v>
      </c>
      <c r="B77" s="72" t="s">
        <v>161</v>
      </c>
      <c r="C77" s="59">
        <v>45660</v>
      </c>
      <c r="D77" s="60">
        <v>2</v>
      </c>
      <c r="E77" s="60" t="s">
        <v>45</v>
      </c>
      <c r="F77" s="60" t="s">
        <v>33</v>
      </c>
      <c r="G77" s="60" t="s">
        <v>34</v>
      </c>
      <c r="H77" s="58" t="s">
        <v>48</v>
      </c>
      <c r="I77" s="60" t="s">
        <v>35</v>
      </c>
      <c r="J77" s="60" t="s">
        <v>146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58" t="s">
        <v>158</v>
      </c>
      <c r="B78" s="72" t="s">
        <v>162</v>
      </c>
      <c r="C78" s="59">
        <v>45660</v>
      </c>
      <c r="D78" s="60">
        <v>2</v>
      </c>
      <c r="E78" s="60" t="s">
        <v>45</v>
      </c>
      <c r="F78" s="60" t="s">
        <v>33</v>
      </c>
      <c r="G78" s="60" t="s">
        <v>34</v>
      </c>
      <c r="H78" s="58" t="s">
        <v>48</v>
      </c>
      <c r="I78" s="60" t="s">
        <v>35</v>
      </c>
      <c r="J78" s="60" t="s">
        <v>146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58" t="s">
        <v>163</v>
      </c>
      <c r="B79" s="72" t="s">
        <v>164</v>
      </c>
      <c r="C79" s="59">
        <v>45660</v>
      </c>
      <c r="D79" s="60">
        <v>2</v>
      </c>
      <c r="E79" s="60" t="s">
        <v>45</v>
      </c>
      <c r="F79" s="60" t="s">
        <v>33</v>
      </c>
      <c r="G79" s="60" t="s">
        <v>34</v>
      </c>
      <c r="H79" s="58" t="s">
        <v>48</v>
      </c>
      <c r="I79" s="60" t="s">
        <v>35</v>
      </c>
      <c r="J79" s="60" t="s">
        <v>146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58" t="s">
        <v>165</v>
      </c>
      <c r="B80" s="72" t="s">
        <v>166</v>
      </c>
      <c r="C80" s="59">
        <v>45660</v>
      </c>
      <c r="D80" s="60">
        <v>1</v>
      </c>
      <c r="E80" s="60" t="s">
        <v>32</v>
      </c>
      <c r="F80" s="60" t="s">
        <v>33</v>
      </c>
      <c r="G80" s="60" t="s">
        <v>34</v>
      </c>
      <c r="H80" s="58" t="s">
        <v>32</v>
      </c>
      <c r="I80" s="60" t="s">
        <v>35</v>
      </c>
      <c r="J80" s="60" t="s">
        <v>146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58" t="s">
        <v>167</v>
      </c>
      <c r="B81" s="72" t="s">
        <v>168</v>
      </c>
      <c r="C81" s="59">
        <v>45660</v>
      </c>
      <c r="D81" s="60">
        <v>1</v>
      </c>
      <c r="E81" s="60" t="s">
        <v>32</v>
      </c>
      <c r="F81" s="60" t="s">
        <v>33</v>
      </c>
      <c r="G81" s="60" t="s">
        <v>34</v>
      </c>
      <c r="H81" s="58" t="s">
        <v>32</v>
      </c>
      <c r="I81" s="60" t="s">
        <v>35</v>
      </c>
      <c r="J81" s="60" t="s">
        <v>146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58" t="s">
        <v>169</v>
      </c>
      <c r="B82" s="72" t="s">
        <v>170</v>
      </c>
      <c r="C82" s="59">
        <v>45660</v>
      </c>
      <c r="D82" s="60">
        <v>1</v>
      </c>
      <c r="E82" s="60" t="s">
        <v>45</v>
      </c>
      <c r="F82" s="60" t="s">
        <v>33</v>
      </c>
      <c r="G82" s="60" t="s">
        <v>34</v>
      </c>
      <c r="H82" s="58" t="s">
        <v>141</v>
      </c>
      <c r="I82" s="60" t="s">
        <v>35</v>
      </c>
      <c r="J82" s="60" t="s">
        <v>146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58" t="s">
        <v>144</v>
      </c>
      <c r="B83" s="72" t="s">
        <v>171</v>
      </c>
      <c r="C83" s="59">
        <v>45663</v>
      </c>
      <c r="D83" s="60">
        <v>3</v>
      </c>
      <c r="E83" s="60" t="s">
        <v>45</v>
      </c>
      <c r="F83" s="60" t="s">
        <v>33</v>
      </c>
      <c r="G83" s="60" t="s">
        <v>34</v>
      </c>
      <c r="H83" s="58" t="s">
        <v>141</v>
      </c>
      <c r="I83" s="60" t="s">
        <v>35</v>
      </c>
      <c r="J83" s="60" t="s">
        <v>146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58" t="s">
        <v>144</v>
      </c>
      <c r="B84" s="72" t="s">
        <v>172</v>
      </c>
      <c r="C84" s="59">
        <v>45663</v>
      </c>
      <c r="D84" s="60">
        <v>3</v>
      </c>
      <c r="E84" s="60" t="s">
        <v>32</v>
      </c>
      <c r="F84" s="60" t="s">
        <v>33</v>
      </c>
      <c r="G84" s="60" t="s">
        <v>34</v>
      </c>
      <c r="H84" s="58" t="s">
        <v>32</v>
      </c>
      <c r="I84" s="60" t="s">
        <v>35</v>
      </c>
      <c r="J84" s="60" t="s">
        <v>146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58" t="s">
        <v>152</v>
      </c>
      <c r="B85" s="72" t="s">
        <v>173</v>
      </c>
      <c r="C85" s="59">
        <v>45663</v>
      </c>
      <c r="D85" s="60">
        <v>3</v>
      </c>
      <c r="E85" s="60" t="s">
        <v>32</v>
      </c>
      <c r="F85" s="60" t="s">
        <v>33</v>
      </c>
      <c r="G85" s="60" t="s">
        <v>34</v>
      </c>
      <c r="H85" s="58" t="s">
        <v>32</v>
      </c>
      <c r="I85" s="60" t="s">
        <v>35</v>
      </c>
      <c r="J85" s="60" t="s">
        <v>146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58" t="s">
        <v>152</v>
      </c>
      <c r="B86" s="72" t="s">
        <v>174</v>
      </c>
      <c r="C86" s="59">
        <v>45663</v>
      </c>
      <c r="D86" s="60">
        <v>3</v>
      </c>
      <c r="E86" s="60" t="s">
        <v>45</v>
      </c>
      <c r="F86" s="60" t="s">
        <v>33</v>
      </c>
      <c r="G86" s="60" t="s">
        <v>34</v>
      </c>
      <c r="H86" s="58" t="s">
        <v>141</v>
      </c>
      <c r="I86" s="60" t="s">
        <v>35</v>
      </c>
      <c r="J86" s="60" t="s">
        <v>146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58" t="s">
        <v>175</v>
      </c>
      <c r="B87" s="72" t="s">
        <v>176</v>
      </c>
      <c r="C87" s="59">
        <v>45663</v>
      </c>
      <c r="D87" s="60">
        <v>3</v>
      </c>
      <c r="E87" s="60" t="s">
        <v>32</v>
      </c>
      <c r="F87" s="60" t="s">
        <v>33</v>
      </c>
      <c r="G87" s="60" t="s">
        <v>34</v>
      </c>
      <c r="H87" s="58" t="s">
        <v>32</v>
      </c>
      <c r="I87" s="60" t="s">
        <v>35</v>
      </c>
      <c r="J87" s="60" t="s">
        <v>146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58" t="s">
        <v>169</v>
      </c>
      <c r="B88" s="72" t="s">
        <v>177</v>
      </c>
      <c r="C88" s="59">
        <v>45663</v>
      </c>
      <c r="D88" s="60">
        <v>3</v>
      </c>
      <c r="E88" s="60" t="s">
        <v>45</v>
      </c>
      <c r="F88" s="60" t="s">
        <v>33</v>
      </c>
      <c r="G88" s="60" t="s">
        <v>34</v>
      </c>
      <c r="H88" s="58" t="s">
        <v>178</v>
      </c>
      <c r="I88" s="60" t="s">
        <v>35</v>
      </c>
      <c r="J88" s="60" t="s">
        <v>146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58" t="s">
        <v>179</v>
      </c>
      <c r="B89" s="72" t="s">
        <v>180</v>
      </c>
      <c r="C89" s="59">
        <v>45663</v>
      </c>
      <c r="D89" s="60">
        <v>3</v>
      </c>
      <c r="E89" s="60" t="s">
        <v>45</v>
      </c>
      <c r="F89" s="60" t="s">
        <v>33</v>
      </c>
      <c r="G89" s="60" t="s">
        <v>34</v>
      </c>
      <c r="H89" s="58" t="s">
        <v>48</v>
      </c>
      <c r="I89" s="60" t="s">
        <v>35</v>
      </c>
      <c r="J89" s="60" t="s">
        <v>146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58" t="s">
        <v>181</v>
      </c>
      <c r="B90" s="72" t="s">
        <v>182</v>
      </c>
      <c r="C90" s="59">
        <v>45663</v>
      </c>
      <c r="D90" s="60">
        <v>3</v>
      </c>
      <c r="E90" s="60" t="s">
        <v>32</v>
      </c>
      <c r="F90" s="60" t="s">
        <v>33</v>
      </c>
      <c r="G90" s="60" t="s">
        <v>34</v>
      </c>
      <c r="H90" s="58" t="s">
        <v>32</v>
      </c>
      <c r="I90" s="60" t="s">
        <v>35</v>
      </c>
      <c r="J90" s="60" t="s">
        <v>146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58" t="s">
        <v>183</v>
      </c>
      <c r="B91" s="72" t="s">
        <v>184</v>
      </c>
      <c r="C91" s="59">
        <v>45663</v>
      </c>
      <c r="D91" s="60">
        <v>3</v>
      </c>
      <c r="E91" s="60" t="s">
        <v>45</v>
      </c>
      <c r="F91" s="60" t="s">
        <v>33</v>
      </c>
      <c r="G91" s="60" t="s">
        <v>34</v>
      </c>
      <c r="H91" s="58" t="s">
        <v>48</v>
      </c>
      <c r="I91" s="60" t="s">
        <v>35</v>
      </c>
      <c r="J91" s="60" t="s">
        <v>146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58" t="s">
        <v>185</v>
      </c>
      <c r="B92" s="72" t="s">
        <v>186</v>
      </c>
      <c r="C92" s="59">
        <v>45663</v>
      </c>
      <c r="D92" s="60">
        <v>3</v>
      </c>
      <c r="E92" s="60" t="s">
        <v>32</v>
      </c>
      <c r="F92" s="60" t="s">
        <v>33</v>
      </c>
      <c r="G92" s="60" t="s">
        <v>34</v>
      </c>
      <c r="H92" s="58" t="s">
        <v>32</v>
      </c>
      <c r="I92" s="60" t="s">
        <v>35</v>
      </c>
      <c r="J92" s="60" t="s">
        <v>146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58" t="s">
        <v>155</v>
      </c>
      <c r="B93" s="72" t="s">
        <v>187</v>
      </c>
      <c r="C93" s="59">
        <v>45663</v>
      </c>
      <c r="D93" s="60">
        <v>3</v>
      </c>
      <c r="E93" s="60" t="s">
        <v>32</v>
      </c>
      <c r="F93" s="60" t="s">
        <v>33</v>
      </c>
      <c r="G93" s="60" t="s">
        <v>34</v>
      </c>
      <c r="H93" s="58" t="s">
        <v>32</v>
      </c>
      <c r="I93" s="60" t="s">
        <v>35</v>
      </c>
      <c r="J93" s="60" t="s">
        <v>146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58" t="s">
        <v>181</v>
      </c>
      <c r="B94" s="72" t="s">
        <v>188</v>
      </c>
      <c r="C94" s="59">
        <v>45663</v>
      </c>
      <c r="D94" s="60">
        <v>3</v>
      </c>
      <c r="E94" s="60" t="s">
        <v>32</v>
      </c>
      <c r="F94" s="60" t="s">
        <v>33</v>
      </c>
      <c r="G94" s="60" t="s">
        <v>34</v>
      </c>
      <c r="H94" s="58" t="s">
        <v>32</v>
      </c>
      <c r="I94" s="60" t="s">
        <v>35</v>
      </c>
      <c r="J94" s="60" t="s">
        <v>146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58" t="s">
        <v>158</v>
      </c>
      <c r="B95" s="72" t="s">
        <v>189</v>
      </c>
      <c r="C95" s="59">
        <v>45663</v>
      </c>
      <c r="D95" s="60">
        <v>2</v>
      </c>
      <c r="E95" s="60" t="s">
        <v>45</v>
      </c>
      <c r="F95" s="60" t="s">
        <v>33</v>
      </c>
      <c r="G95" s="60" t="s">
        <v>34</v>
      </c>
      <c r="H95" s="58" t="s">
        <v>48</v>
      </c>
      <c r="I95" s="60" t="s">
        <v>35</v>
      </c>
      <c r="J95" s="60" t="s">
        <v>146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58" t="s">
        <v>155</v>
      </c>
      <c r="B96" s="72" t="s">
        <v>190</v>
      </c>
      <c r="C96" s="59">
        <v>45663</v>
      </c>
      <c r="D96" s="60">
        <v>1</v>
      </c>
      <c r="E96" s="60" t="s">
        <v>32</v>
      </c>
      <c r="F96" s="60" t="s">
        <v>33</v>
      </c>
      <c r="G96" s="60" t="s">
        <v>34</v>
      </c>
      <c r="H96" s="58" t="s">
        <v>32</v>
      </c>
      <c r="I96" s="60" t="s">
        <v>35</v>
      </c>
      <c r="J96" s="60" t="s">
        <v>146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58" t="s">
        <v>183</v>
      </c>
      <c r="B97" s="72" t="s">
        <v>191</v>
      </c>
      <c r="C97" s="59">
        <v>45663</v>
      </c>
      <c r="D97" s="60">
        <v>3</v>
      </c>
      <c r="E97" s="60" t="s">
        <v>45</v>
      </c>
      <c r="F97" s="60" t="s">
        <v>33</v>
      </c>
      <c r="G97" s="60" t="s">
        <v>34</v>
      </c>
      <c r="H97" s="58" t="s">
        <v>48</v>
      </c>
      <c r="I97" s="60" t="s">
        <v>35</v>
      </c>
      <c r="J97" s="60" t="s">
        <v>146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58" t="s">
        <v>152</v>
      </c>
      <c r="B98" s="72" t="s">
        <v>192</v>
      </c>
      <c r="C98" s="59">
        <v>45663</v>
      </c>
      <c r="D98" s="60">
        <v>1</v>
      </c>
      <c r="E98" s="60" t="s">
        <v>45</v>
      </c>
      <c r="F98" s="60" t="s">
        <v>33</v>
      </c>
      <c r="G98" s="60" t="s">
        <v>34</v>
      </c>
      <c r="H98" s="58" t="s">
        <v>178</v>
      </c>
      <c r="I98" s="60" t="s">
        <v>35</v>
      </c>
      <c r="J98" s="60" t="s">
        <v>146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58" t="s">
        <v>193</v>
      </c>
      <c r="B99" s="72" t="s">
        <v>194</v>
      </c>
      <c r="C99" s="59">
        <v>45665</v>
      </c>
      <c r="D99" s="60">
        <v>3</v>
      </c>
      <c r="E99" s="60" t="s">
        <v>32</v>
      </c>
      <c r="F99" s="60" t="s">
        <v>195</v>
      </c>
      <c r="G99" s="60" t="s">
        <v>196</v>
      </c>
      <c r="H99" s="58" t="s">
        <v>32</v>
      </c>
      <c r="I99" s="60" t="s">
        <v>197</v>
      </c>
      <c r="J99" s="60" t="s">
        <v>146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58" t="s">
        <v>155</v>
      </c>
      <c r="B100" s="72" t="s">
        <v>198</v>
      </c>
      <c r="C100" s="59">
        <v>45665</v>
      </c>
      <c r="D100" s="60">
        <v>3</v>
      </c>
      <c r="E100" s="60" t="s">
        <v>32</v>
      </c>
      <c r="F100" s="60" t="s">
        <v>195</v>
      </c>
      <c r="G100" s="60" t="s">
        <v>196</v>
      </c>
      <c r="H100" s="58" t="s">
        <v>32</v>
      </c>
      <c r="I100" s="60" t="s">
        <v>197</v>
      </c>
      <c r="J100" s="60" t="s">
        <v>146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61" t="s">
        <v>199</v>
      </c>
      <c r="B101" s="68" t="s">
        <v>161</v>
      </c>
      <c r="C101" s="62">
        <v>45661</v>
      </c>
      <c r="D101" s="63">
        <v>2</v>
      </c>
      <c r="E101" s="63" t="s">
        <v>32</v>
      </c>
      <c r="F101" s="63" t="s">
        <v>33</v>
      </c>
      <c r="G101" s="63" t="s">
        <v>34</v>
      </c>
      <c r="H101" s="61" t="s">
        <v>41</v>
      </c>
      <c r="I101" s="63" t="s">
        <v>35</v>
      </c>
      <c r="J101" s="63" t="s">
        <v>200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61" t="s">
        <v>201</v>
      </c>
      <c r="B102" s="68" t="s">
        <v>202</v>
      </c>
      <c r="C102" s="62">
        <v>45661</v>
      </c>
      <c r="D102" s="63">
        <v>1</v>
      </c>
      <c r="E102" s="63" t="s">
        <v>45</v>
      </c>
      <c r="F102" s="63" t="s">
        <v>33</v>
      </c>
      <c r="G102" s="63" t="s">
        <v>34</v>
      </c>
      <c r="H102" s="61" t="s">
        <v>38</v>
      </c>
      <c r="I102" s="63" t="s">
        <v>35</v>
      </c>
      <c r="J102" s="63" t="s">
        <v>200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61" t="s">
        <v>203</v>
      </c>
      <c r="B103" s="68" t="s">
        <v>204</v>
      </c>
      <c r="C103" s="62">
        <v>45661</v>
      </c>
      <c r="D103" s="63">
        <v>1</v>
      </c>
      <c r="E103" s="63" t="s">
        <v>45</v>
      </c>
      <c r="F103" s="63" t="s">
        <v>33</v>
      </c>
      <c r="G103" s="63" t="s">
        <v>34</v>
      </c>
      <c r="H103" s="61" t="s">
        <v>38</v>
      </c>
      <c r="I103" s="63" t="s">
        <v>35</v>
      </c>
      <c r="J103" s="63" t="s">
        <v>200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61" t="s">
        <v>203</v>
      </c>
      <c r="B104" s="68" t="s">
        <v>205</v>
      </c>
      <c r="C104" s="62">
        <v>45660</v>
      </c>
      <c r="D104" s="63">
        <v>3</v>
      </c>
      <c r="E104" s="63" t="s">
        <v>32</v>
      </c>
      <c r="F104" s="63" t="s">
        <v>33</v>
      </c>
      <c r="G104" s="63" t="s">
        <v>34</v>
      </c>
      <c r="H104" s="61" t="s">
        <v>41</v>
      </c>
      <c r="I104" s="63" t="s">
        <v>35</v>
      </c>
      <c r="J104" s="63" t="s">
        <v>200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61" t="s">
        <v>203</v>
      </c>
      <c r="B105" s="68" t="s">
        <v>206</v>
      </c>
      <c r="C105" s="62">
        <v>45660</v>
      </c>
      <c r="D105" s="63">
        <v>1</v>
      </c>
      <c r="E105" s="63" t="s">
        <v>45</v>
      </c>
      <c r="F105" s="63" t="s">
        <v>33</v>
      </c>
      <c r="G105" s="63" t="s">
        <v>34</v>
      </c>
      <c r="H105" s="61" t="s">
        <v>41</v>
      </c>
      <c r="I105" s="63" t="s">
        <v>35</v>
      </c>
      <c r="J105" s="63" t="s">
        <v>200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61" t="s">
        <v>203</v>
      </c>
      <c r="B106" s="68" t="s">
        <v>207</v>
      </c>
      <c r="C106" s="62">
        <v>45661</v>
      </c>
      <c r="D106" s="63">
        <v>1</v>
      </c>
      <c r="E106" s="63" t="s">
        <v>45</v>
      </c>
      <c r="F106" s="63" t="s">
        <v>33</v>
      </c>
      <c r="G106" s="63" t="s">
        <v>34</v>
      </c>
      <c r="H106" s="61" t="s">
        <v>41</v>
      </c>
      <c r="I106" s="63" t="s">
        <v>35</v>
      </c>
      <c r="J106" s="63" t="s">
        <v>200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>
      <c r="A107" s="61" t="s">
        <v>203</v>
      </c>
      <c r="B107" s="68" t="s">
        <v>208</v>
      </c>
      <c r="C107" s="62">
        <v>45660</v>
      </c>
      <c r="D107" s="63">
        <v>3</v>
      </c>
      <c r="E107" s="63" t="s">
        <v>32</v>
      </c>
      <c r="F107" s="63" t="s">
        <v>33</v>
      </c>
      <c r="G107" s="63" t="s">
        <v>34</v>
      </c>
      <c r="H107" s="61" t="s">
        <v>41</v>
      </c>
      <c r="I107" s="63" t="s">
        <v>35</v>
      </c>
      <c r="J107" s="63" t="s">
        <v>200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>
      <c r="A108" s="61" t="s">
        <v>209</v>
      </c>
      <c r="B108" s="68" t="s">
        <v>210</v>
      </c>
      <c r="C108" s="62">
        <v>45660</v>
      </c>
      <c r="D108" s="63">
        <v>1</v>
      </c>
      <c r="E108" s="63" t="s">
        <v>45</v>
      </c>
      <c r="F108" s="63" t="s">
        <v>33</v>
      </c>
      <c r="G108" s="63" t="s">
        <v>34</v>
      </c>
      <c r="H108" s="61" t="s">
        <v>41</v>
      </c>
      <c r="I108" s="63" t="s">
        <v>35</v>
      </c>
      <c r="J108" s="63" t="s">
        <v>200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2.5">
      <c r="A109" s="61" t="s">
        <v>211</v>
      </c>
      <c r="B109" s="68" t="s">
        <v>212</v>
      </c>
      <c r="C109" s="62">
        <v>45661</v>
      </c>
      <c r="D109" s="63">
        <v>1</v>
      </c>
      <c r="E109" s="63" t="s">
        <v>45</v>
      </c>
      <c r="F109" s="63" t="s">
        <v>33</v>
      </c>
      <c r="G109" s="63" t="s">
        <v>34</v>
      </c>
      <c r="H109" s="61" t="s">
        <v>41</v>
      </c>
      <c r="I109" s="63" t="s">
        <v>35</v>
      </c>
      <c r="J109" s="63" t="s">
        <v>200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>
      <c r="A110" s="61" t="s">
        <v>213</v>
      </c>
      <c r="B110" s="68" t="s">
        <v>214</v>
      </c>
      <c r="C110" s="62">
        <v>45661</v>
      </c>
      <c r="D110" s="63">
        <v>2</v>
      </c>
      <c r="E110" s="63" t="s">
        <v>32</v>
      </c>
      <c r="F110" s="63" t="s">
        <v>33</v>
      </c>
      <c r="G110" s="63" t="s">
        <v>34</v>
      </c>
      <c r="H110" s="61" t="s">
        <v>118</v>
      </c>
      <c r="I110" s="63" t="s">
        <v>35</v>
      </c>
      <c r="J110" s="63" t="s">
        <v>200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>
      <c r="A111" s="61" t="s">
        <v>215</v>
      </c>
      <c r="B111" s="68" t="s">
        <v>216</v>
      </c>
      <c r="C111" s="62">
        <v>45660</v>
      </c>
      <c r="D111" s="63">
        <v>3</v>
      </c>
      <c r="E111" s="63" t="s">
        <v>32</v>
      </c>
      <c r="F111" s="63" t="s">
        <v>33</v>
      </c>
      <c r="G111" s="63" t="s">
        <v>34</v>
      </c>
      <c r="H111" s="61" t="s">
        <v>41</v>
      </c>
      <c r="I111" s="63" t="s">
        <v>35</v>
      </c>
      <c r="J111" s="63" t="s">
        <v>200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>
      <c r="A112" s="61" t="s">
        <v>217</v>
      </c>
      <c r="B112" s="68" t="s">
        <v>218</v>
      </c>
      <c r="C112" s="62">
        <v>45661</v>
      </c>
      <c r="D112" s="63">
        <v>3</v>
      </c>
      <c r="E112" s="63" t="s">
        <v>32</v>
      </c>
      <c r="F112" s="63" t="s">
        <v>33</v>
      </c>
      <c r="G112" s="63" t="s">
        <v>34</v>
      </c>
      <c r="H112" s="61" t="s">
        <v>48</v>
      </c>
      <c r="I112" s="63" t="s">
        <v>35</v>
      </c>
      <c r="J112" s="63" t="s">
        <v>200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>
      <c r="A113" s="61" t="s">
        <v>217</v>
      </c>
      <c r="B113" s="68" t="s">
        <v>219</v>
      </c>
      <c r="C113" s="62">
        <v>45663</v>
      </c>
      <c r="D113" s="63">
        <v>3</v>
      </c>
      <c r="E113" s="63" t="s">
        <v>32</v>
      </c>
      <c r="F113" s="63" t="s">
        <v>33</v>
      </c>
      <c r="G113" s="63" t="s">
        <v>34</v>
      </c>
      <c r="H113" s="61" t="s">
        <v>41</v>
      </c>
      <c r="I113" s="63" t="s">
        <v>35</v>
      </c>
      <c r="J113" s="63" t="s">
        <v>200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>
      <c r="A114" s="61" t="s">
        <v>220</v>
      </c>
      <c r="B114" s="68" t="s">
        <v>221</v>
      </c>
      <c r="C114" s="62">
        <v>45660</v>
      </c>
      <c r="D114" s="63">
        <v>3</v>
      </c>
      <c r="E114" s="63" t="s">
        <v>32</v>
      </c>
      <c r="F114" s="63" t="s">
        <v>33</v>
      </c>
      <c r="G114" s="63" t="s">
        <v>34</v>
      </c>
      <c r="H114" s="61" t="s">
        <v>141</v>
      </c>
      <c r="I114" s="63" t="s">
        <v>35</v>
      </c>
      <c r="J114" s="63" t="s">
        <v>200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61" t="s">
        <v>222</v>
      </c>
      <c r="B115" s="68" t="s">
        <v>223</v>
      </c>
      <c r="C115" s="62">
        <v>45660</v>
      </c>
      <c r="D115" s="63">
        <v>3</v>
      </c>
      <c r="E115" s="63" t="s">
        <v>32</v>
      </c>
      <c r="F115" s="63" t="s">
        <v>33</v>
      </c>
      <c r="G115" s="63" t="s">
        <v>34</v>
      </c>
      <c r="H115" s="61" t="s">
        <v>224</v>
      </c>
      <c r="I115" s="63" t="s">
        <v>35</v>
      </c>
      <c r="J115" s="63" t="s">
        <v>200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61" t="s">
        <v>222</v>
      </c>
      <c r="B116" s="68" t="s">
        <v>225</v>
      </c>
      <c r="C116" s="62">
        <v>45661</v>
      </c>
      <c r="D116" s="63">
        <v>3</v>
      </c>
      <c r="E116" s="63" t="s">
        <v>32</v>
      </c>
      <c r="F116" s="63" t="s">
        <v>33</v>
      </c>
      <c r="G116" s="63" t="s">
        <v>34</v>
      </c>
      <c r="H116" s="61" t="s">
        <v>41</v>
      </c>
      <c r="I116" s="63" t="s">
        <v>35</v>
      </c>
      <c r="J116" s="63" t="s">
        <v>200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>
      <c r="A117" s="61" t="s">
        <v>226</v>
      </c>
      <c r="B117" s="68" t="s">
        <v>227</v>
      </c>
      <c r="C117" s="62">
        <v>45661</v>
      </c>
      <c r="D117" s="63">
        <v>3</v>
      </c>
      <c r="E117" s="63" t="s">
        <v>32</v>
      </c>
      <c r="F117" s="63" t="s">
        <v>33</v>
      </c>
      <c r="G117" s="63" t="s">
        <v>34</v>
      </c>
      <c r="H117" s="61" t="s">
        <v>224</v>
      </c>
      <c r="I117" s="63" t="s">
        <v>35</v>
      </c>
      <c r="J117" s="63" t="s">
        <v>200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>
      <c r="A118" s="61" t="s">
        <v>226</v>
      </c>
      <c r="B118" s="68" t="s">
        <v>228</v>
      </c>
      <c r="C118" s="62">
        <v>45660</v>
      </c>
      <c r="D118" s="63">
        <v>3</v>
      </c>
      <c r="E118" s="63" t="s">
        <v>32</v>
      </c>
      <c r="F118" s="63" t="s">
        <v>33</v>
      </c>
      <c r="G118" s="63" t="s">
        <v>34</v>
      </c>
      <c r="H118" s="61" t="s">
        <v>38</v>
      </c>
      <c r="I118" s="63" t="s">
        <v>35</v>
      </c>
      <c r="J118" s="63" t="s">
        <v>200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>
      <c r="A119" s="61" t="s">
        <v>226</v>
      </c>
      <c r="B119" s="68" t="s">
        <v>229</v>
      </c>
      <c r="C119" s="62">
        <v>45660</v>
      </c>
      <c r="D119" s="63">
        <v>3</v>
      </c>
      <c r="E119" s="63" t="s">
        <v>32</v>
      </c>
      <c r="F119" s="63" t="s">
        <v>33</v>
      </c>
      <c r="G119" s="63" t="s">
        <v>34</v>
      </c>
      <c r="H119" s="61" t="s">
        <v>48</v>
      </c>
      <c r="I119" s="63" t="s">
        <v>35</v>
      </c>
      <c r="J119" s="63" t="s">
        <v>200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61" t="s">
        <v>226</v>
      </c>
      <c r="B120" s="68" t="s">
        <v>230</v>
      </c>
      <c r="C120" s="62">
        <v>45660</v>
      </c>
      <c r="D120" s="63">
        <v>3</v>
      </c>
      <c r="E120" s="63" t="s">
        <v>32</v>
      </c>
      <c r="F120" s="63" t="s">
        <v>33</v>
      </c>
      <c r="G120" s="63" t="s">
        <v>34</v>
      </c>
      <c r="H120" s="61" t="s">
        <v>48</v>
      </c>
      <c r="I120" s="63" t="s">
        <v>35</v>
      </c>
      <c r="J120" s="63" t="s">
        <v>200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>
      <c r="A121" s="61" t="s">
        <v>226</v>
      </c>
      <c r="B121" s="68" t="s">
        <v>131</v>
      </c>
      <c r="C121" s="62">
        <v>45661</v>
      </c>
      <c r="D121" s="63">
        <v>3</v>
      </c>
      <c r="E121" s="63" t="s">
        <v>32</v>
      </c>
      <c r="F121" s="63" t="s">
        <v>33</v>
      </c>
      <c r="G121" s="63" t="s">
        <v>34</v>
      </c>
      <c r="H121" s="61" t="s">
        <v>41</v>
      </c>
      <c r="I121" s="63" t="s">
        <v>35</v>
      </c>
      <c r="J121" s="63" t="s">
        <v>200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>
      <c r="A122" s="61" t="s">
        <v>231</v>
      </c>
      <c r="B122" s="68" t="s">
        <v>232</v>
      </c>
      <c r="C122" s="62">
        <v>45663</v>
      </c>
      <c r="D122" s="63">
        <v>3</v>
      </c>
      <c r="E122" s="63" t="s">
        <v>32</v>
      </c>
      <c r="F122" s="63" t="s">
        <v>33</v>
      </c>
      <c r="G122" s="63" t="s">
        <v>34</v>
      </c>
      <c r="H122" s="61" t="s">
        <v>41</v>
      </c>
      <c r="I122" s="63" t="s">
        <v>35</v>
      </c>
      <c r="J122" s="63" t="s">
        <v>200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61" t="s">
        <v>233</v>
      </c>
      <c r="B123" s="68" t="s">
        <v>234</v>
      </c>
      <c r="C123" s="62">
        <v>45663</v>
      </c>
      <c r="D123" s="63">
        <v>3</v>
      </c>
      <c r="E123" s="63" t="s">
        <v>32</v>
      </c>
      <c r="F123" s="63" t="s">
        <v>33</v>
      </c>
      <c r="G123" s="63" t="s">
        <v>34</v>
      </c>
      <c r="H123" s="61" t="s">
        <v>224</v>
      </c>
      <c r="I123" s="63" t="s">
        <v>35</v>
      </c>
      <c r="J123" s="63" t="s">
        <v>200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64" t="s">
        <v>235</v>
      </c>
      <c r="B124" s="73" t="s">
        <v>236</v>
      </c>
      <c r="C124" s="65">
        <v>45660</v>
      </c>
      <c r="D124" s="66">
        <v>1</v>
      </c>
      <c r="E124" s="66" t="s">
        <v>45</v>
      </c>
      <c r="F124" s="66" t="s">
        <v>33</v>
      </c>
      <c r="G124" s="66" t="s">
        <v>34</v>
      </c>
      <c r="H124" s="64" t="s">
        <v>237</v>
      </c>
      <c r="I124" s="66" t="s">
        <v>35</v>
      </c>
      <c r="J124" s="66" t="s">
        <v>238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64" t="s">
        <v>235</v>
      </c>
      <c r="B125" s="73" t="s">
        <v>239</v>
      </c>
      <c r="C125" s="65">
        <v>45660</v>
      </c>
      <c r="D125" s="66">
        <v>1</v>
      </c>
      <c r="E125" s="66" t="s">
        <v>32</v>
      </c>
      <c r="F125" s="66" t="s">
        <v>33</v>
      </c>
      <c r="G125" s="66" t="s">
        <v>34</v>
      </c>
      <c r="H125" s="64" t="s">
        <v>240</v>
      </c>
      <c r="I125" s="66" t="s">
        <v>35</v>
      </c>
      <c r="J125" s="66" t="s">
        <v>238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>
      <c r="A126" s="64" t="s">
        <v>241</v>
      </c>
      <c r="B126" s="73" t="s">
        <v>242</v>
      </c>
      <c r="C126" s="65">
        <v>45660</v>
      </c>
      <c r="D126" s="66">
        <v>1</v>
      </c>
      <c r="E126" s="66" t="s">
        <v>32</v>
      </c>
      <c r="F126" s="66" t="s">
        <v>33</v>
      </c>
      <c r="G126" s="66" t="s">
        <v>34</v>
      </c>
      <c r="H126" s="64" t="s">
        <v>243</v>
      </c>
      <c r="I126" s="66" t="s">
        <v>35</v>
      </c>
      <c r="J126" s="66" t="s">
        <v>238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64" t="s">
        <v>244</v>
      </c>
      <c r="B127" s="73" t="s">
        <v>245</v>
      </c>
      <c r="C127" s="65">
        <v>45660</v>
      </c>
      <c r="D127" s="66">
        <v>1</v>
      </c>
      <c r="E127" s="66" t="s">
        <v>32</v>
      </c>
      <c r="F127" s="66" t="s">
        <v>33</v>
      </c>
      <c r="G127" s="66" t="s">
        <v>34</v>
      </c>
      <c r="H127" s="64" t="s">
        <v>246</v>
      </c>
      <c r="I127" s="66" t="s">
        <v>35</v>
      </c>
      <c r="J127" s="66" t="s">
        <v>238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>
      <c r="A128" s="64" t="s">
        <v>247</v>
      </c>
      <c r="B128" s="73" t="s">
        <v>248</v>
      </c>
      <c r="C128" s="65">
        <v>45660</v>
      </c>
      <c r="D128" s="66">
        <v>1</v>
      </c>
      <c r="E128" s="66" t="s">
        <v>32</v>
      </c>
      <c r="F128" s="66" t="s">
        <v>33</v>
      </c>
      <c r="G128" s="66" t="s">
        <v>34</v>
      </c>
      <c r="H128" s="64" t="s">
        <v>249</v>
      </c>
      <c r="I128" s="66" t="s">
        <v>35</v>
      </c>
      <c r="J128" s="66" t="s">
        <v>238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>
      <c r="A129" s="64" t="s">
        <v>250</v>
      </c>
      <c r="B129" s="73" t="s">
        <v>251</v>
      </c>
      <c r="C129" s="65">
        <v>45660</v>
      </c>
      <c r="D129" s="66">
        <v>1</v>
      </c>
      <c r="E129" s="66" t="s">
        <v>32</v>
      </c>
      <c r="F129" s="66" t="s">
        <v>33</v>
      </c>
      <c r="G129" s="66" t="s">
        <v>34</v>
      </c>
      <c r="H129" s="64" t="s">
        <v>252</v>
      </c>
      <c r="I129" s="66" t="s">
        <v>35</v>
      </c>
      <c r="J129" s="66" t="s">
        <v>238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>
      <c r="A130" s="64" t="s">
        <v>253</v>
      </c>
      <c r="B130" s="73" t="s">
        <v>254</v>
      </c>
      <c r="C130" s="65">
        <v>45660</v>
      </c>
      <c r="D130" s="66">
        <v>1</v>
      </c>
      <c r="E130" s="66" t="s">
        <v>32</v>
      </c>
      <c r="F130" s="66" t="s">
        <v>33</v>
      </c>
      <c r="G130" s="66" t="s">
        <v>34</v>
      </c>
      <c r="H130" s="64" t="s">
        <v>255</v>
      </c>
      <c r="I130" s="66" t="s">
        <v>35</v>
      </c>
      <c r="J130" s="66" t="s">
        <v>238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>
      <c r="A131" s="64" t="s">
        <v>256</v>
      </c>
      <c r="B131" s="73" t="s">
        <v>257</v>
      </c>
      <c r="C131" s="65">
        <v>45660</v>
      </c>
      <c r="D131" s="66">
        <v>1</v>
      </c>
      <c r="E131" s="66" t="s">
        <v>32</v>
      </c>
      <c r="F131" s="66" t="s">
        <v>33</v>
      </c>
      <c r="G131" s="66" t="s">
        <v>34</v>
      </c>
      <c r="H131" s="64" t="s">
        <v>258</v>
      </c>
      <c r="I131" s="66" t="s">
        <v>35</v>
      </c>
      <c r="J131" s="66" t="s">
        <v>238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>
      <c r="A132" s="64" t="s">
        <v>256</v>
      </c>
      <c r="B132" s="73" t="s">
        <v>259</v>
      </c>
      <c r="C132" s="65">
        <v>45660</v>
      </c>
      <c r="D132" s="66">
        <v>1</v>
      </c>
      <c r="E132" s="66" t="s">
        <v>32</v>
      </c>
      <c r="F132" s="66" t="s">
        <v>33</v>
      </c>
      <c r="G132" s="66" t="s">
        <v>34</v>
      </c>
      <c r="H132" s="64" t="s">
        <v>260</v>
      </c>
      <c r="I132" s="66" t="s">
        <v>35</v>
      </c>
      <c r="J132" s="66" t="s">
        <v>238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64" t="s">
        <v>261</v>
      </c>
      <c r="B133" s="73" t="s">
        <v>262</v>
      </c>
      <c r="C133" s="65">
        <v>45660</v>
      </c>
      <c r="D133" s="66">
        <v>1</v>
      </c>
      <c r="E133" s="66" t="s">
        <v>45</v>
      </c>
      <c r="F133" s="66" t="s">
        <v>33</v>
      </c>
      <c r="G133" s="66" t="s">
        <v>34</v>
      </c>
      <c r="H133" s="64" t="s">
        <v>263</v>
      </c>
      <c r="I133" s="66" t="s">
        <v>35</v>
      </c>
      <c r="J133" s="66" t="s">
        <v>238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>
      <c r="A134" s="64" t="s">
        <v>264</v>
      </c>
      <c r="B134" s="73" t="s">
        <v>265</v>
      </c>
      <c r="C134" s="65">
        <v>45660</v>
      </c>
      <c r="D134" s="66">
        <v>1</v>
      </c>
      <c r="E134" s="66" t="s">
        <v>32</v>
      </c>
      <c r="F134" s="66" t="s">
        <v>33</v>
      </c>
      <c r="G134" s="66" t="s">
        <v>34</v>
      </c>
      <c r="H134" s="64" t="s">
        <v>255</v>
      </c>
      <c r="I134" s="66" t="s">
        <v>35</v>
      </c>
      <c r="J134" s="66" t="s">
        <v>238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64" t="s">
        <v>266</v>
      </c>
      <c r="B135" s="73" t="s">
        <v>267</v>
      </c>
      <c r="C135" s="65">
        <v>45660</v>
      </c>
      <c r="D135" s="66">
        <v>1</v>
      </c>
      <c r="E135" s="66" t="s">
        <v>32</v>
      </c>
      <c r="F135" s="66" t="s">
        <v>33</v>
      </c>
      <c r="G135" s="66" t="s">
        <v>34</v>
      </c>
      <c r="H135" s="64" t="s">
        <v>255</v>
      </c>
      <c r="I135" s="66" t="s">
        <v>35</v>
      </c>
      <c r="J135" s="66" t="s">
        <v>238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64" t="s">
        <v>264</v>
      </c>
      <c r="B136" s="73" t="s">
        <v>268</v>
      </c>
      <c r="C136" s="65">
        <v>45660</v>
      </c>
      <c r="D136" s="66">
        <v>1</v>
      </c>
      <c r="E136" s="66" t="s">
        <v>45</v>
      </c>
      <c r="F136" s="66" t="s">
        <v>33</v>
      </c>
      <c r="G136" s="66" t="s">
        <v>34</v>
      </c>
      <c r="H136" s="64" t="s">
        <v>269</v>
      </c>
      <c r="I136" s="66" t="s">
        <v>35</v>
      </c>
      <c r="J136" s="66" t="s">
        <v>238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>
      <c r="A137" s="64" t="s">
        <v>261</v>
      </c>
      <c r="B137" s="73" t="s">
        <v>270</v>
      </c>
      <c r="C137" s="65">
        <v>45662</v>
      </c>
      <c r="D137" s="66">
        <v>1</v>
      </c>
      <c r="E137" s="66" t="s">
        <v>45</v>
      </c>
      <c r="F137" s="66" t="s">
        <v>33</v>
      </c>
      <c r="G137" s="66" t="s">
        <v>34</v>
      </c>
      <c r="H137" s="64" t="s">
        <v>271</v>
      </c>
      <c r="I137" s="66" t="s">
        <v>35</v>
      </c>
      <c r="J137" s="66" t="s">
        <v>238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>
      <c r="A138" s="64" t="s">
        <v>261</v>
      </c>
      <c r="B138" s="73" t="s">
        <v>272</v>
      </c>
      <c r="C138" s="65">
        <v>45662</v>
      </c>
      <c r="D138" s="66">
        <v>1</v>
      </c>
      <c r="E138" s="66" t="s">
        <v>32</v>
      </c>
      <c r="F138" s="66" t="s">
        <v>33</v>
      </c>
      <c r="G138" s="66" t="s">
        <v>34</v>
      </c>
      <c r="H138" s="64" t="s">
        <v>273</v>
      </c>
      <c r="I138" s="66" t="s">
        <v>35</v>
      </c>
      <c r="J138" s="66" t="s">
        <v>238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>
      <c r="A139" s="64" t="s">
        <v>274</v>
      </c>
      <c r="B139" s="73" t="s">
        <v>275</v>
      </c>
      <c r="C139" s="65">
        <v>45662</v>
      </c>
      <c r="D139" s="66">
        <v>1</v>
      </c>
      <c r="E139" s="66" t="s">
        <v>32</v>
      </c>
      <c r="F139" s="66" t="s">
        <v>33</v>
      </c>
      <c r="G139" s="66" t="s">
        <v>34</v>
      </c>
      <c r="H139" s="64" t="s">
        <v>263</v>
      </c>
      <c r="I139" s="66" t="s">
        <v>35</v>
      </c>
      <c r="J139" s="66" t="s">
        <v>238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>
      <c r="A140" s="64" t="s">
        <v>276</v>
      </c>
      <c r="B140" s="73" t="s">
        <v>277</v>
      </c>
      <c r="C140" s="65">
        <v>45662</v>
      </c>
      <c r="D140" s="66">
        <v>1</v>
      </c>
      <c r="E140" s="66" t="s">
        <v>32</v>
      </c>
      <c r="F140" s="66" t="s">
        <v>33</v>
      </c>
      <c r="G140" s="66" t="s">
        <v>34</v>
      </c>
      <c r="H140" s="64" t="s">
        <v>278</v>
      </c>
      <c r="I140" s="66" t="s">
        <v>35</v>
      </c>
      <c r="J140" s="66" t="s">
        <v>238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1.25" customHeight="1">
      <c r="A141" s="16"/>
      <c r="B141" s="16"/>
      <c r="C141" s="21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1.25" customHeight="1">
      <c r="A142" s="16"/>
      <c r="B142" s="16"/>
      <c r="C142" s="21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1.25" customHeight="1">
      <c r="A143" s="16"/>
      <c r="B143" s="16"/>
      <c r="C143" s="21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1.25" customHeight="1">
      <c r="A144" s="16"/>
      <c r="B144" s="16"/>
      <c r="C144" s="21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1.25" customHeight="1">
      <c r="A145" s="16"/>
      <c r="B145" s="16"/>
      <c r="C145" s="21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1.25" customHeight="1">
      <c r="A146" s="16"/>
      <c r="B146" s="16"/>
      <c r="C146" s="21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1.25" customHeight="1">
      <c r="A147" s="16"/>
      <c r="B147" s="16"/>
      <c r="C147" s="21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1.25" customHeight="1">
      <c r="A148" s="16"/>
      <c r="B148" s="16"/>
      <c r="C148" s="21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1.25" customHeight="1">
      <c r="A149" s="16"/>
      <c r="B149" s="16"/>
      <c r="C149" s="21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1.25" customHeight="1">
      <c r="A150" s="16"/>
      <c r="B150" s="16"/>
      <c r="C150" s="21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1.25" customHeight="1">
      <c r="A151" s="16"/>
      <c r="B151" s="16"/>
      <c r="C151" s="21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1.25" customHeight="1">
      <c r="A152" s="16"/>
      <c r="B152" s="16"/>
      <c r="C152" s="21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1.25" customHeight="1">
      <c r="A153" s="16"/>
      <c r="B153" s="16"/>
      <c r="C153" s="21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1.25" customHeight="1">
      <c r="A154" s="16"/>
      <c r="B154" s="16"/>
      <c r="C154" s="21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1.25" customHeight="1">
      <c r="A155" s="16"/>
      <c r="B155" s="16"/>
      <c r="C155" s="21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1.25" customHeight="1">
      <c r="A156" s="16"/>
      <c r="B156" s="16"/>
      <c r="C156" s="21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1.25" customHeight="1">
      <c r="A157" s="16"/>
      <c r="B157" s="16"/>
      <c r="C157" s="21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1.25" customHeight="1">
      <c r="A158" s="16"/>
      <c r="B158" s="16"/>
      <c r="C158" s="21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1.25" customHeight="1">
      <c r="A159" s="16"/>
      <c r="B159" s="16"/>
      <c r="C159" s="21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1.25" customHeight="1">
      <c r="A160" s="16"/>
      <c r="B160" s="16"/>
      <c r="C160" s="21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1.25" customHeight="1">
      <c r="A161" s="16"/>
      <c r="B161" s="16"/>
      <c r="C161" s="21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1.25" customHeight="1">
      <c r="A162" s="16"/>
      <c r="B162" s="16"/>
      <c r="C162" s="21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1.25" customHeight="1">
      <c r="A163" s="16"/>
      <c r="B163" s="16"/>
      <c r="C163" s="21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1.25" customHeight="1">
      <c r="A164" s="16"/>
      <c r="B164" s="16"/>
      <c r="C164" s="21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1.25" customHeight="1">
      <c r="A165" s="16"/>
      <c r="B165" s="16"/>
      <c r="C165" s="21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1.25" customHeight="1">
      <c r="A166" s="16"/>
      <c r="B166" s="16"/>
      <c r="C166" s="21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1.25" customHeight="1">
      <c r="A167" s="16"/>
      <c r="B167" s="16"/>
      <c r="C167" s="21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1.25" customHeight="1">
      <c r="A168" s="16"/>
      <c r="B168" s="16"/>
      <c r="C168" s="21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1.25" customHeight="1">
      <c r="A169" s="16"/>
      <c r="B169" s="16"/>
      <c r="C169" s="21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1.25" customHeight="1">
      <c r="A170" s="16"/>
      <c r="B170" s="16"/>
      <c r="C170" s="21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1.25" customHeight="1">
      <c r="A171" s="16"/>
      <c r="B171" s="16"/>
      <c r="C171" s="21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1.25" customHeight="1">
      <c r="A172" s="16"/>
      <c r="B172" s="16"/>
      <c r="C172" s="21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1.25" customHeight="1">
      <c r="A173" s="16"/>
      <c r="B173" s="16"/>
      <c r="C173" s="21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1.25" customHeight="1">
      <c r="A174" s="16"/>
      <c r="B174" s="16"/>
      <c r="C174" s="21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1.25" customHeight="1">
      <c r="A175" s="16"/>
      <c r="B175" s="16"/>
      <c r="C175" s="21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1.25" customHeight="1">
      <c r="A176" s="16"/>
      <c r="B176" s="16"/>
      <c r="C176" s="21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1.25" customHeight="1">
      <c r="A177" s="16"/>
      <c r="B177" s="16"/>
      <c r="C177" s="21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1.25" customHeight="1">
      <c r="A178" s="16"/>
      <c r="B178" s="16"/>
      <c r="C178" s="21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1.25" customHeight="1">
      <c r="A179" s="16"/>
      <c r="B179" s="16"/>
      <c r="C179" s="21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1.25" customHeight="1">
      <c r="A180" s="16"/>
      <c r="B180" s="16"/>
      <c r="C180" s="21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1.25" customHeight="1">
      <c r="A181" s="16"/>
      <c r="B181" s="16"/>
      <c r="C181" s="21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1.25" customHeight="1">
      <c r="A182" s="16"/>
      <c r="B182" s="16"/>
      <c r="C182" s="21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1.25" customHeight="1">
      <c r="A183" s="16"/>
      <c r="B183" s="16"/>
      <c r="C183" s="21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1.25" customHeight="1">
      <c r="A184" s="16"/>
      <c r="B184" s="16"/>
      <c r="C184" s="21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1.25" customHeight="1">
      <c r="A185" s="16"/>
      <c r="B185" s="16"/>
      <c r="C185" s="21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1.25" customHeight="1">
      <c r="A186" s="16"/>
      <c r="B186" s="16"/>
      <c r="C186" s="21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1.25" customHeight="1">
      <c r="A187" s="16"/>
      <c r="B187" s="16"/>
      <c r="C187" s="21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1.25" customHeight="1">
      <c r="A188" s="16"/>
      <c r="B188" s="16"/>
      <c r="C188" s="21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1.25" customHeight="1">
      <c r="A189" s="16"/>
      <c r="B189" s="16"/>
      <c r="C189" s="21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1.25" customHeight="1">
      <c r="A190" s="16"/>
      <c r="B190" s="16"/>
      <c r="C190" s="21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1.25" customHeight="1">
      <c r="A191" s="16"/>
      <c r="B191" s="16"/>
      <c r="C191" s="21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1.25" customHeight="1">
      <c r="A192" s="16"/>
      <c r="B192" s="16"/>
      <c r="C192" s="21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1.25" customHeight="1">
      <c r="A193" s="16"/>
      <c r="B193" s="16"/>
      <c r="C193" s="21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1.25" customHeight="1">
      <c r="A194" s="16"/>
      <c r="B194" s="16"/>
      <c r="C194" s="21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1.25" customHeight="1">
      <c r="A195" s="16"/>
      <c r="B195" s="16"/>
      <c r="C195" s="21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1.25" customHeight="1">
      <c r="A196" s="16"/>
      <c r="B196" s="16"/>
      <c r="C196" s="21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1.25" customHeight="1">
      <c r="A197" s="16"/>
      <c r="B197" s="16"/>
      <c r="C197" s="21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1.25" customHeight="1">
      <c r="A198" s="16"/>
      <c r="B198" s="16"/>
      <c r="C198" s="21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1.25" customHeight="1">
      <c r="A199" s="16"/>
      <c r="B199" s="16"/>
      <c r="C199" s="21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1.25" customHeight="1">
      <c r="A200" s="16"/>
      <c r="B200" s="16"/>
      <c r="C200" s="21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1.25" customHeight="1">
      <c r="A201" s="16"/>
      <c r="B201" s="16"/>
      <c r="C201" s="21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1.25" customHeight="1">
      <c r="A202" s="16"/>
      <c r="B202" s="16"/>
      <c r="C202" s="21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1.25" customHeight="1">
      <c r="A203" s="16"/>
      <c r="B203" s="16"/>
      <c r="C203" s="21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1.25" customHeight="1">
      <c r="A204" s="16"/>
      <c r="B204" s="16"/>
      <c r="C204" s="21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1.25" customHeight="1">
      <c r="A205" s="16"/>
      <c r="B205" s="16"/>
      <c r="C205" s="21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1.25" customHeight="1">
      <c r="A206" s="16"/>
      <c r="B206" s="16"/>
      <c r="C206" s="21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1.25" customHeight="1">
      <c r="A207" s="16"/>
      <c r="B207" s="16"/>
      <c r="C207" s="21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1.25" customHeight="1">
      <c r="A208" s="16"/>
      <c r="B208" s="16"/>
      <c r="C208" s="21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1.25" customHeight="1">
      <c r="A209" s="16"/>
      <c r="B209" s="16"/>
      <c r="C209" s="21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1.25" customHeight="1">
      <c r="A210" s="16"/>
      <c r="B210" s="16"/>
      <c r="C210" s="21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1.25" customHeight="1">
      <c r="A211" s="16"/>
      <c r="B211" s="16"/>
      <c r="C211" s="21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1.25" customHeight="1">
      <c r="A212" s="16"/>
      <c r="B212" s="16"/>
      <c r="C212" s="21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1.25" customHeight="1">
      <c r="A213" s="16"/>
      <c r="B213" s="16"/>
      <c r="C213" s="21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1.25" customHeight="1">
      <c r="A214" s="16"/>
      <c r="B214" s="16"/>
      <c r="C214" s="21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1.25" customHeight="1">
      <c r="A215" s="16"/>
      <c r="B215" s="16"/>
      <c r="C215" s="21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1.25" customHeight="1">
      <c r="A216" s="16"/>
      <c r="B216" s="16"/>
      <c r="C216" s="21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1.25" customHeight="1">
      <c r="A217" s="16"/>
      <c r="B217" s="16"/>
      <c r="C217" s="21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1.25" customHeight="1">
      <c r="A218" s="16"/>
      <c r="B218" s="16"/>
      <c r="C218" s="21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1.25" customHeight="1">
      <c r="A219" s="16"/>
      <c r="B219" s="16"/>
      <c r="C219" s="21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1.25" customHeight="1">
      <c r="A220" s="16"/>
      <c r="B220" s="16"/>
      <c r="C220" s="21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1.25" customHeight="1">
      <c r="A221" s="16"/>
      <c r="B221" s="16"/>
      <c r="C221" s="21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1.25" customHeight="1">
      <c r="A222" s="16"/>
      <c r="B222" s="16"/>
      <c r="C222" s="21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1.25" customHeight="1">
      <c r="A223" s="16"/>
      <c r="B223" s="16"/>
      <c r="C223" s="21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1.25" customHeight="1">
      <c r="A224" s="16"/>
      <c r="B224" s="16"/>
      <c r="C224" s="21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1.25" customHeight="1">
      <c r="A225" s="16"/>
      <c r="B225" s="16"/>
      <c r="C225" s="21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1.25" customHeight="1">
      <c r="A226" s="16"/>
      <c r="B226" s="16"/>
      <c r="C226" s="21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1.25" customHeight="1">
      <c r="A227" s="16"/>
      <c r="B227" s="16"/>
      <c r="C227" s="21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1.25" customHeight="1">
      <c r="A228" s="16"/>
      <c r="B228" s="16"/>
      <c r="C228" s="21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1.25" customHeight="1">
      <c r="A229" s="16"/>
      <c r="B229" s="16"/>
      <c r="C229" s="21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1.25" customHeight="1">
      <c r="A230" s="16"/>
      <c r="B230" s="16"/>
      <c r="C230" s="21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1.25" customHeight="1">
      <c r="A231" s="16"/>
      <c r="B231" s="16"/>
      <c r="C231" s="21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1.25" customHeight="1">
      <c r="A232" s="16"/>
      <c r="B232" s="16"/>
      <c r="C232" s="21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1.25" customHeight="1">
      <c r="A233" s="16"/>
      <c r="B233" s="16"/>
      <c r="C233" s="21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1.25" customHeight="1">
      <c r="A234" s="16"/>
      <c r="B234" s="16"/>
      <c r="C234" s="21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1.25" customHeight="1">
      <c r="A235" s="16"/>
      <c r="B235" s="16"/>
      <c r="C235" s="21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1.25" customHeight="1">
      <c r="A236" s="16"/>
      <c r="B236" s="16"/>
      <c r="C236" s="21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1.25" customHeight="1">
      <c r="A237" s="16"/>
      <c r="B237" s="16"/>
      <c r="C237" s="21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1.25" customHeight="1">
      <c r="A238" s="16"/>
      <c r="B238" s="16"/>
      <c r="C238" s="21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1.25" customHeight="1">
      <c r="A239" s="16"/>
      <c r="B239" s="16"/>
      <c r="C239" s="21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1.25" customHeight="1">
      <c r="A240" s="16"/>
      <c r="B240" s="16"/>
      <c r="C240" s="21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1.25" customHeight="1">
      <c r="A241" s="16"/>
      <c r="B241" s="16"/>
      <c r="C241" s="21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1.25" customHeight="1">
      <c r="A242" s="16"/>
      <c r="B242" s="16"/>
      <c r="C242" s="21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1.25" customHeight="1">
      <c r="A243" s="16"/>
      <c r="B243" s="16"/>
      <c r="C243" s="21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1.25" customHeight="1">
      <c r="A244" s="16"/>
      <c r="B244" s="16"/>
      <c r="C244" s="21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1.25" customHeight="1">
      <c r="A245" s="16"/>
      <c r="B245" s="16"/>
      <c r="C245" s="21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1.25" customHeight="1">
      <c r="A246" s="16"/>
      <c r="B246" s="16"/>
      <c r="C246" s="21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1.25" customHeight="1">
      <c r="A247" s="16"/>
      <c r="B247" s="16"/>
      <c r="C247" s="21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1.25" customHeight="1">
      <c r="A248" s="16"/>
      <c r="B248" s="16"/>
      <c r="C248" s="21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1.25" customHeight="1">
      <c r="A249" s="16"/>
      <c r="B249" s="16"/>
      <c r="C249" s="21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1.25" customHeight="1">
      <c r="A250" s="16"/>
      <c r="B250" s="16"/>
      <c r="C250" s="21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1.25" customHeight="1">
      <c r="A251" s="16"/>
      <c r="B251" s="16"/>
      <c r="C251" s="21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1.25" customHeight="1">
      <c r="A252" s="16"/>
      <c r="B252" s="16"/>
      <c r="C252" s="21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1.25" customHeight="1">
      <c r="A253" s="16"/>
      <c r="B253" s="16"/>
      <c r="C253" s="21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1.25" customHeight="1">
      <c r="A254" s="16"/>
      <c r="B254" s="16"/>
      <c r="C254" s="21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1.25" customHeight="1">
      <c r="A255" s="16"/>
      <c r="B255" s="16"/>
      <c r="C255" s="21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1.25" customHeight="1">
      <c r="A256" s="16"/>
      <c r="B256" s="16"/>
      <c r="C256" s="21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1.25" customHeight="1">
      <c r="A257" s="16"/>
      <c r="B257" s="16"/>
      <c r="C257" s="21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1.25" customHeight="1">
      <c r="A258" s="16"/>
      <c r="B258" s="16"/>
      <c r="C258" s="21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1.25" customHeight="1">
      <c r="A259" s="16"/>
      <c r="B259" s="16"/>
      <c r="C259" s="21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1.25" customHeight="1">
      <c r="A260" s="16"/>
      <c r="B260" s="16"/>
      <c r="C260" s="21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1.25" customHeight="1">
      <c r="A261" s="16"/>
      <c r="B261" s="16"/>
      <c r="C261" s="21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1.25" customHeight="1">
      <c r="A262" s="16"/>
      <c r="B262" s="16"/>
      <c r="C262" s="21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1.25" customHeight="1">
      <c r="A263" s="16"/>
      <c r="B263" s="16"/>
      <c r="C263" s="21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1.25" customHeight="1">
      <c r="A264" s="16"/>
      <c r="B264" s="16"/>
      <c r="C264" s="21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1.25" customHeight="1">
      <c r="A265" s="16"/>
      <c r="B265" s="16"/>
      <c r="C265" s="21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1.25" customHeight="1">
      <c r="A266" s="16"/>
      <c r="B266" s="16"/>
      <c r="C266" s="21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1.25" customHeight="1">
      <c r="A267" s="16"/>
      <c r="B267" s="16"/>
      <c r="C267" s="21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1.25" customHeight="1">
      <c r="A268" s="16"/>
      <c r="B268" s="16"/>
      <c r="C268" s="21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1.25" customHeight="1">
      <c r="A269" s="16"/>
      <c r="B269" s="16"/>
      <c r="C269" s="21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1.25" customHeight="1">
      <c r="A270" s="16"/>
      <c r="B270" s="16"/>
      <c r="C270" s="21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1.25" customHeight="1">
      <c r="A271" s="16"/>
      <c r="B271" s="16"/>
      <c r="C271" s="21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1.25" customHeight="1">
      <c r="A272" s="16"/>
      <c r="B272" s="16"/>
      <c r="C272" s="21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1.25" customHeight="1">
      <c r="A273" s="16"/>
      <c r="B273" s="16"/>
      <c r="C273" s="21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1.25" customHeight="1">
      <c r="A274" s="16"/>
      <c r="B274" s="16"/>
      <c r="C274" s="21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1.25" customHeight="1">
      <c r="A275" s="16"/>
      <c r="B275" s="16"/>
      <c r="C275" s="21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1.25" customHeight="1">
      <c r="A276" s="16"/>
      <c r="B276" s="16"/>
      <c r="C276" s="21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1.25" customHeight="1">
      <c r="A277" s="16"/>
      <c r="B277" s="16"/>
      <c r="C277" s="21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1.25" customHeight="1">
      <c r="A278" s="16"/>
      <c r="B278" s="16"/>
      <c r="C278" s="21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1.25" customHeight="1">
      <c r="A279" s="16"/>
      <c r="B279" s="16"/>
      <c r="C279" s="21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1.25" customHeight="1">
      <c r="A280" s="16"/>
      <c r="B280" s="16"/>
      <c r="C280" s="21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1.25" customHeight="1">
      <c r="A281" s="16"/>
      <c r="B281" s="16"/>
      <c r="C281" s="21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1.25" customHeight="1">
      <c r="A282" s="16"/>
      <c r="B282" s="16"/>
      <c r="C282" s="21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1.25" customHeight="1">
      <c r="A283" s="16"/>
      <c r="B283" s="16"/>
      <c r="C283" s="21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1.25" customHeight="1">
      <c r="A284" s="16"/>
      <c r="B284" s="16"/>
      <c r="C284" s="21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1.25" customHeight="1">
      <c r="A285" s="16"/>
      <c r="B285" s="16"/>
      <c r="C285" s="21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1.25" customHeight="1">
      <c r="A286" s="16"/>
      <c r="B286" s="16"/>
      <c r="C286" s="21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1.25" customHeight="1">
      <c r="A287" s="16"/>
      <c r="B287" s="16"/>
      <c r="C287" s="21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1.25" customHeight="1">
      <c r="A288" s="16"/>
      <c r="B288" s="16"/>
      <c r="C288" s="21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1.25" customHeight="1">
      <c r="A289" s="16"/>
      <c r="B289" s="16"/>
      <c r="C289" s="21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1.25" customHeight="1">
      <c r="A290" s="16"/>
      <c r="B290" s="16"/>
      <c r="C290" s="21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1.25" customHeight="1">
      <c r="A291" s="16"/>
      <c r="B291" s="16"/>
      <c r="C291" s="21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1.25" customHeight="1">
      <c r="A292" s="16"/>
      <c r="B292" s="16"/>
      <c r="C292" s="21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1.25" customHeight="1">
      <c r="A293" s="16"/>
      <c r="B293" s="16"/>
      <c r="C293" s="21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1.25" customHeight="1">
      <c r="A294" s="16"/>
      <c r="B294" s="16"/>
      <c r="C294" s="21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1.25" customHeight="1">
      <c r="A295" s="16"/>
      <c r="B295" s="16"/>
      <c r="C295" s="21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1.25" customHeight="1">
      <c r="A296" s="16"/>
      <c r="B296" s="16"/>
      <c r="C296" s="21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1.25" customHeight="1">
      <c r="A297" s="16"/>
      <c r="B297" s="16"/>
      <c r="C297" s="21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1.25" customHeight="1">
      <c r="A298" s="16"/>
      <c r="B298" s="16"/>
      <c r="C298" s="21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1.25" customHeight="1">
      <c r="A299" s="16"/>
      <c r="B299" s="16"/>
      <c r="C299" s="21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1.25" customHeight="1">
      <c r="A300" s="16"/>
      <c r="B300" s="16"/>
      <c r="C300" s="21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1.25" customHeight="1">
      <c r="A301" s="16"/>
      <c r="B301" s="16"/>
      <c r="C301" s="21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1.25" customHeight="1">
      <c r="A302" s="16"/>
      <c r="B302" s="16"/>
      <c r="C302" s="21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1.25" customHeight="1">
      <c r="A303" s="16"/>
      <c r="B303" s="16"/>
      <c r="C303" s="21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1.25" customHeight="1">
      <c r="A304" s="16"/>
      <c r="B304" s="16"/>
      <c r="C304" s="21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1.25" customHeight="1">
      <c r="A305" s="16"/>
      <c r="B305" s="16"/>
      <c r="C305" s="21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1.25" customHeight="1">
      <c r="A306" s="16"/>
      <c r="B306" s="16"/>
      <c r="C306" s="21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1.25" customHeight="1">
      <c r="A307" s="16"/>
      <c r="B307" s="16"/>
      <c r="C307" s="21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1.25" customHeight="1">
      <c r="A308" s="16"/>
      <c r="B308" s="16"/>
      <c r="C308" s="21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1.25" customHeight="1">
      <c r="A309" s="16"/>
      <c r="B309" s="16"/>
      <c r="C309" s="21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1.25" customHeight="1">
      <c r="A310" s="16"/>
      <c r="B310" s="16"/>
      <c r="C310" s="21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1.25" customHeight="1">
      <c r="A311" s="16"/>
      <c r="B311" s="16"/>
      <c r="C311" s="21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1.25" customHeight="1">
      <c r="A312" s="16"/>
      <c r="B312" s="16"/>
      <c r="C312" s="21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1.25" customHeight="1">
      <c r="A313" s="16"/>
      <c r="B313" s="16"/>
      <c r="C313" s="21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1.25" customHeight="1">
      <c r="A314" s="16"/>
      <c r="B314" s="16"/>
      <c r="C314" s="21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1.25" customHeight="1">
      <c r="A315" s="16"/>
      <c r="B315" s="16"/>
      <c r="C315" s="21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1.25" customHeight="1">
      <c r="A316" s="16"/>
      <c r="B316" s="16"/>
      <c r="C316" s="21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1.25" customHeight="1">
      <c r="A317" s="16"/>
      <c r="B317" s="16"/>
      <c r="C317" s="21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1.25" customHeight="1">
      <c r="A318" s="16"/>
      <c r="B318" s="16"/>
      <c r="C318" s="21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1.25" customHeight="1">
      <c r="A319" s="16"/>
      <c r="B319" s="16"/>
      <c r="C319" s="21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1.25" customHeight="1">
      <c r="A320" s="16"/>
      <c r="B320" s="16"/>
      <c r="C320" s="21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1.25" customHeight="1">
      <c r="A321" s="16"/>
      <c r="B321" s="16"/>
      <c r="C321" s="21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1.25" customHeight="1">
      <c r="A322" s="16"/>
      <c r="B322" s="16"/>
      <c r="C322" s="21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1.25" customHeight="1">
      <c r="A323" s="16"/>
      <c r="B323" s="16"/>
      <c r="C323" s="21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1.25" customHeight="1">
      <c r="A324" s="16"/>
      <c r="B324" s="16"/>
      <c r="C324" s="21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1.25" customHeight="1">
      <c r="A325" s="16"/>
      <c r="B325" s="16"/>
      <c r="C325" s="21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1.25" customHeight="1">
      <c r="A326" s="16"/>
      <c r="B326" s="16"/>
      <c r="C326" s="21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1.25" customHeight="1">
      <c r="A327" s="16"/>
      <c r="B327" s="16"/>
      <c r="C327" s="21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1.25" customHeight="1">
      <c r="A328" s="16"/>
      <c r="B328" s="16"/>
      <c r="C328" s="21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1.25" customHeight="1">
      <c r="A329" s="16"/>
      <c r="B329" s="16"/>
      <c r="C329" s="21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1.25" customHeight="1">
      <c r="A330" s="16"/>
      <c r="B330" s="16"/>
      <c r="C330" s="21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1.25" customHeight="1">
      <c r="A331" s="16"/>
      <c r="B331" s="16"/>
      <c r="C331" s="21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1.25" customHeight="1">
      <c r="A332" s="16"/>
      <c r="B332" s="16"/>
      <c r="C332" s="21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1.25" customHeight="1">
      <c r="A333" s="16"/>
      <c r="B333" s="16"/>
      <c r="C333" s="21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1.25" customHeight="1">
      <c r="A334" s="16"/>
      <c r="B334" s="16"/>
      <c r="C334" s="21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1.25" customHeight="1">
      <c r="A335" s="16"/>
      <c r="B335" s="16"/>
      <c r="C335" s="21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1.25" customHeight="1">
      <c r="A336" s="16"/>
      <c r="B336" s="16"/>
      <c r="C336" s="21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1.25" customHeight="1">
      <c r="A337" s="16"/>
      <c r="B337" s="16"/>
      <c r="C337" s="21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1.25" customHeight="1">
      <c r="A338" s="16"/>
      <c r="B338" s="16"/>
      <c r="C338" s="21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1.25" customHeight="1">
      <c r="A339" s="16"/>
      <c r="B339" s="16"/>
      <c r="C339" s="21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1.25" customHeight="1">
      <c r="A340" s="16"/>
      <c r="B340" s="16"/>
      <c r="C340" s="21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1.25" customHeight="1">
      <c r="A341" s="16"/>
      <c r="B341" s="16"/>
      <c r="C341" s="21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1.25" customHeight="1">
      <c r="A342" s="16"/>
      <c r="B342" s="16"/>
      <c r="C342" s="21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1.25" customHeight="1">
      <c r="A343" s="16"/>
      <c r="B343" s="16"/>
      <c r="C343" s="21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1.25" customHeight="1">
      <c r="A344" s="16"/>
      <c r="B344" s="16"/>
      <c r="C344" s="21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1.25" customHeight="1">
      <c r="A345" s="16"/>
      <c r="B345" s="16"/>
      <c r="C345" s="21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1.25" customHeight="1">
      <c r="A346" s="16"/>
      <c r="B346" s="16"/>
      <c r="C346" s="21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1.25" customHeight="1">
      <c r="A347" s="16"/>
      <c r="B347" s="16"/>
      <c r="C347" s="21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1.25" customHeight="1">
      <c r="A348" s="16"/>
      <c r="B348" s="16"/>
      <c r="C348" s="21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1.25" customHeight="1">
      <c r="A349" s="16"/>
      <c r="B349" s="16"/>
      <c r="C349" s="21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1.25" customHeight="1">
      <c r="A350" s="16"/>
      <c r="B350" s="16"/>
      <c r="C350" s="21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1.25" customHeight="1">
      <c r="A351" s="16"/>
      <c r="B351" s="16"/>
      <c r="C351" s="21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1.25" customHeight="1">
      <c r="A352" s="16"/>
      <c r="B352" s="16"/>
      <c r="C352" s="21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1.25" customHeight="1">
      <c r="A353" s="16"/>
      <c r="B353" s="16"/>
      <c r="C353" s="21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1.25" customHeight="1">
      <c r="A354" s="16"/>
      <c r="B354" s="16"/>
      <c r="C354" s="21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1.25" customHeight="1">
      <c r="A355" s="16"/>
      <c r="B355" s="16"/>
      <c r="C355" s="21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1.25" customHeight="1">
      <c r="A356" s="16"/>
      <c r="B356" s="16"/>
      <c r="C356" s="21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1.25" customHeight="1">
      <c r="A357" s="16"/>
      <c r="B357" s="16"/>
      <c r="C357" s="21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1.25" customHeight="1">
      <c r="A358" s="16"/>
      <c r="B358" s="16"/>
      <c r="C358" s="21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1.25" customHeight="1">
      <c r="A359" s="16"/>
      <c r="B359" s="16"/>
      <c r="C359" s="21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1.25" customHeight="1">
      <c r="A360" s="16"/>
      <c r="B360" s="16"/>
      <c r="C360" s="21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1.25" customHeight="1">
      <c r="A361" s="16"/>
      <c r="B361" s="16"/>
      <c r="C361" s="21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1.25" customHeight="1">
      <c r="A362" s="16"/>
      <c r="B362" s="16"/>
      <c r="C362" s="21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1.25" customHeight="1">
      <c r="A363" s="16"/>
      <c r="B363" s="16"/>
      <c r="C363" s="21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1.25" customHeight="1">
      <c r="A364" s="16"/>
      <c r="B364" s="16"/>
      <c r="C364" s="21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1.25" customHeight="1">
      <c r="A365" s="16"/>
      <c r="B365" s="16"/>
      <c r="C365" s="21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1.25" customHeight="1">
      <c r="A366" s="16"/>
      <c r="B366" s="16"/>
      <c r="C366" s="21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1.25" customHeight="1">
      <c r="A367" s="16"/>
      <c r="B367" s="16"/>
      <c r="C367" s="21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1.25" customHeight="1">
      <c r="A368" s="16"/>
      <c r="B368" s="16"/>
      <c r="C368" s="21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1.25" customHeight="1">
      <c r="A369" s="16"/>
      <c r="B369" s="16"/>
      <c r="C369" s="21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1.25" customHeight="1">
      <c r="A370" s="16"/>
      <c r="B370" s="16"/>
      <c r="C370" s="21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1.25" customHeight="1">
      <c r="A371" s="16"/>
      <c r="B371" s="16"/>
      <c r="C371" s="21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1.25" customHeight="1">
      <c r="A372" s="16"/>
      <c r="B372" s="16"/>
      <c r="C372" s="21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1.25" customHeight="1">
      <c r="A373" s="16"/>
      <c r="B373" s="16"/>
      <c r="C373" s="21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1.25" customHeight="1">
      <c r="A374" s="16"/>
      <c r="B374" s="16"/>
      <c r="C374" s="21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1.25" customHeight="1">
      <c r="A375" s="16"/>
      <c r="B375" s="16"/>
      <c r="C375" s="21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1.25" customHeight="1">
      <c r="A376" s="16"/>
      <c r="B376" s="16"/>
      <c r="C376" s="21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1.25" customHeight="1">
      <c r="A377" s="16"/>
      <c r="B377" s="16"/>
      <c r="C377" s="21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1.25" customHeight="1">
      <c r="A378" s="16"/>
      <c r="B378" s="16"/>
      <c r="C378" s="21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1.25" customHeight="1">
      <c r="A379" s="16"/>
      <c r="B379" s="16"/>
      <c r="C379" s="21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1.25" customHeight="1">
      <c r="A380" s="16"/>
      <c r="B380" s="16"/>
      <c r="C380" s="21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1.25" customHeight="1">
      <c r="A381" s="16"/>
      <c r="B381" s="16"/>
      <c r="C381" s="21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1.25" customHeight="1">
      <c r="A382" s="16"/>
      <c r="B382" s="16"/>
      <c r="C382" s="21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1.25" customHeight="1">
      <c r="A383" s="16"/>
      <c r="B383" s="16"/>
      <c r="C383" s="21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1.25" customHeight="1">
      <c r="A384" s="16"/>
      <c r="B384" s="16"/>
      <c r="C384" s="21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1.25" customHeight="1">
      <c r="A385" s="16"/>
      <c r="B385" s="16"/>
      <c r="C385" s="21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1.25" customHeight="1">
      <c r="A386" s="16"/>
      <c r="B386" s="16"/>
      <c r="C386" s="21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1.25" customHeight="1">
      <c r="A387" s="16"/>
      <c r="B387" s="16"/>
      <c r="C387" s="21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1.25" customHeight="1">
      <c r="A388" s="16"/>
      <c r="B388" s="16"/>
      <c r="C388" s="21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1.25" customHeight="1">
      <c r="A389" s="16"/>
      <c r="B389" s="16"/>
      <c r="C389" s="21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1.25" customHeight="1">
      <c r="A390" s="16"/>
      <c r="B390" s="16"/>
      <c r="C390" s="21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1.25" customHeight="1">
      <c r="A391" s="16"/>
      <c r="B391" s="16"/>
      <c r="C391" s="21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1.25" customHeight="1">
      <c r="A392" s="16"/>
      <c r="B392" s="16"/>
      <c r="C392" s="21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1.25" customHeight="1">
      <c r="A393" s="16"/>
      <c r="B393" s="16"/>
      <c r="C393" s="21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1.25" customHeight="1">
      <c r="A394" s="16"/>
      <c r="B394" s="16"/>
      <c r="C394" s="21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1.25" customHeight="1">
      <c r="A395" s="16"/>
      <c r="B395" s="16"/>
      <c r="C395" s="21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1.25" customHeight="1">
      <c r="A396" s="16"/>
      <c r="B396" s="16"/>
      <c r="C396" s="21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1.25" customHeight="1">
      <c r="A397" s="16"/>
      <c r="B397" s="16"/>
      <c r="C397" s="21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1.25" customHeight="1">
      <c r="A398" s="16"/>
      <c r="B398" s="16"/>
      <c r="C398" s="21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1.25" customHeight="1">
      <c r="A399" s="16"/>
      <c r="B399" s="16"/>
      <c r="C399" s="21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1.25" customHeight="1">
      <c r="A400" s="16"/>
      <c r="B400" s="16"/>
      <c r="C400" s="21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1.25" customHeight="1">
      <c r="A401" s="16"/>
      <c r="B401" s="16"/>
      <c r="C401" s="21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1.25" customHeight="1">
      <c r="A402" s="16"/>
      <c r="B402" s="16"/>
      <c r="C402" s="21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1.25" customHeight="1">
      <c r="A403" s="16"/>
      <c r="B403" s="16"/>
      <c r="C403" s="21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1.25" customHeight="1">
      <c r="A404" s="16"/>
      <c r="B404" s="16"/>
      <c r="C404" s="21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1.25" customHeight="1">
      <c r="A405" s="16"/>
      <c r="B405" s="16"/>
      <c r="C405" s="21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1.25" customHeight="1">
      <c r="A406" s="16"/>
      <c r="B406" s="16"/>
      <c r="C406" s="21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1.25" customHeight="1">
      <c r="A407" s="16"/>
      <c r="B407" s="16"/>
      <c r="C407" s="21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1.25" customHeight="1">
      <c r="A408" s="16"/>
      <c r="B408" s="16"/>
      <c r="C408" s="21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1.25" customHeight="1">
      <c r="A409" s="16"/>
      <c r="B409" s="16"/>
      <c r="C409" s="21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1.25" customHeight="1">
      <c r="A410" s="16"/>
      <c r="B410" s="16"/>
      <c r="C410" s="21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1.25" customHeight="1">
      <c r="A411" s="16"/>
      <c r="B411" s="16"/>
      <c r="C411" s="21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1.25" customHeight="1">
      <c r="A412" s="16"/>
      <c r="B412" s="16"/>
      <c r="C412" s="21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1.25" customHeight="1">
      <c r="A413" s="16"/>
      <c r="B413" s="16"/>
      <c r="C413" s="21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1.25" customHeight="1">
      <c r="A414" s="16"/>
      <c r="B414" s="16"/>
      <c r="C414" s="21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1.25" customHeight="1">
      <c r="A415" s="16"/>
      <c r="B415" s="16"/>
      <c r="C415" s="21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1.25" customHeight="1">
      <c r="A416" s="16"/>
      <c r="B416" s="16"/>
      <c r="C416" s="21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1.25" customHeight="1">
      <c r="A417" s="16"/>
      <c r="B417" s="16"/>
      <c r="C417" s="21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1.25" customHeight="1">
      <c r="A418" s="16"/>
      <c r="B418" s="16"/>
      <c r="C418" s="21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1.25" customHeight="1">
      <c r="A419" s="16"/>
      <c r="B419" s="16"/>
      <c r="C419" s="21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1.25" customHeight="1">
      <c r="A420" s="16"/>
      <c r="B420" s="16"/>
      <c r="C420" s="21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1.25" customHeight="1">
      <c r="A421" s="16"/>
      <c r="B421" s="16"/>
      <c r="C421" s="21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1.25" customHeight="1">
      <c r="A422" s="16"/>
      <c r="B422" s="16"/>
      <c r="C422" s="21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1.25" customHeight="1">
      <c r="A423" s="16"/>
      <c r="B423" s="16"/>
      <c r="C423" s="21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1.25" customHeight="1">
      <c r="A424" s="16"/>
      <c r="B424" s="16"/>
      <c r="C424" s="21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1.25" customHeight="1">
      <c r="A425" s="16"/>
      <c r="B425" s="16"/>
      <c r="C425" s="21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1.25" customHeight="1">
      <c r="A426" s="16"/>
      <c r="B426" s="16"/>
      <c r="C426" s="21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1.25" customHeight="1">
      <c r="A427" s="16"/>
      <c r="B427" s="16"/>
      <c r="C427" s="21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1.25" customHeight="1">
      <c r="A428" s="16"/>
      <c r="B428" s="16"/>
      <c r="C428" s="21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1.25" customHeight="1">
      <c r="A429" s="16"/>
      <c r="B429" s="16"/>
      <c r="C429" s="21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1.25" customHeight="1">
      <c r="A430" s="16"/>
      <c r="B430" s="16"/>
      <c r="C430" s="21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1.25" customHeight="1">
      <c r="A431" s="16"/>
      <c r="B431" s="16"/>
      <c r="C431" s="21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1.25" customHeight="1">
      <c r="A432" s="16"/>
      <c r="B432" s="16"/>
      <c r="C432" s="21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1.25" customHeight="1">
      <c r="A433" s="16"/>
      <c r="B433" s="16"/>
      <c r="C433" s="21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1.25" customHeight="1">
      <c r="A434" s="16"/>
      <c r="B434" s="16"/>
      <c r="C434" s="21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1.25" customHeight="1">
      <c r="A435" s="16"/>
      <c r="B435" s="16"/>
      <c r="C435" s="21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1.25" customHeight="1">
      <c r="A436" s="16"/>
      <c r="B436" s="16"/>
      <c r="C436" s="21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1.25" customHeight="1">
      <c r="A437" s="16"/>
      <c r="B437" s="16"/>
      <c r="C437" s="21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1.25" customHeight="1">
      <c r="A438" s="16"/>
      <c r="B438" s="16"/>
      <c r="C438" s="21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1.25" customHeight="1">
      <c r="A439" s="16"/>
      <c r="B439" s="16"/>
      <c r="C439" s="21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1.25" customHeight="1">
      <c r="A440" s="16"/>
      <c r="B440" s="16"/>
      <c r="C440" s="21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1.25" customHeight="1">
      <c r="A441" s="16"/>
      <c r="B441" s="16"/>
      <c r="C441" s="21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1.25" customHeight="1">
      <c r="A442" s="16"/>
      <c r="B442" s="16"/>
      <c r="C442" s="21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1.25" customHeight="1">
      <c r="A443" s="16"/>
      <c r="B443" s="16"/>
      <c r="C443" s="21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1.25" customHeight="1">
      <c r="A444" s="16"/>
      <c r="B444" s="16"/>
      <c r="C444" s="21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1.25" customHeight="1">
      <c r="A445" s="16"/>
      <c r="B445" s="16"/>
      <c r="C445" s="21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1.25" customHeight="1">
      <c r="A446" s="16"/>
      <c r="B446" s="16"/>
      <c r="C446" s="21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1.25" customHeight="1">
      <c r="A447" s="16"/>
      <c r="B447" s="16"/>
      <c r="C447" s="21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1.25" customHeight="1">
      <c r="A448" s="16"/>
      <c r="B448" s="16"/>
      <c r="C448" s="21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1.25" customHeight="1">
      <c r="A449" s="16"/>
      <c r="B449" s="16"/>
      <c r="C449" s="21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1.25" customHeight="1">
      <c r="A450" s="16"/>
      <c r="B450" s="16"/>
      <c r="C450" s="21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1.25" customHeight="1">
      <c r="A451" s="16"/>
      <c r="B451" s="16"/>
      <c r="C451" s="21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1.25" customHeight="1">
      <c r="A452" s="16"/>
      <c r="B452" s="16"/>
      <c r="C452" s="21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1.25" customHeight="1">
      <c r="A453" s="16"/>
      <c r="B453" s="16"/>
      <c r="C453" s="21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1.25" customHeight="1">
      <c r="A454" s="16"/>
      <c r="B454" s="16"/>
      <c r="C454" s="21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1.25" customHeight="1">
      <c r="A455" s="16"/>
      <c r="B455" s="16"/>
      <c r="C455" s="21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1.25" customHeight="1">
      <c r="A456" s="16"/>
      <c r="B456" s="16"/>
      <c r="C456" s="21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1.25" customHeight="1">
      <c r="A457" s="16"/>
      <c r="B457" s="16"/>
      <c r="C457" s="21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1.25" customHeight="1">
      <c r="A458" s="16"/>
      <c r="B458" s="16"/>
      <c r="C458" s="21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1.25" customHeight="1">
      <c r="A459" s="16"/>
      <c r="B459" s="16"/>
      <c r="C459" s="21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1.25" customHeight="1">
      <c r="A460" s="16"/>
      <c r="B460" s="16"/>
      <c r="C460" s="21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1.25" customHeight="1">
      <c r="A461" s="16"/>
      <c r="B461" s="16"/>
      <c r="C461" s="21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1.25" customHeight="1">
      <c r="A462" s="16"/>
      <c r="B462" s="16"/>
      <c r="C462" s="21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1.25" customHeight="1">
      <c r="A463" s="16"/>
      <c r="B463" s="16"/>
      <c r="C463" s="21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1.25" customHeight="1">
      <c r="A464" s="16"/>
      <c r="B464" s="16"/>
      <c r="C464" s="21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1.25" customHeight="1">
      <c r="A465" s="16"/>
      <c r="B465" s="16"/>
      <c r="C465" s="21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1.25" customHeight="1">
      <c r="A466" s="16"/>
      <c r="B466" s="16"/>
      <c r="C466" s="21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1.25" customHeight="1">
      <c r="A467" s="16"/>
      <c r="B467" s="16"/>
      <c r="C467" s="21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1.25" customHeight="1">
      <c r="A468" s="16"/>
      <c r="B468" s="16"/>
      <c r="C468" s="21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1.25" customHeight="1">
      <c r="A469" s="16"/>
      <c r="B469" s="16"/>
      <c r="C469" s="21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1.25" customHeight="1">
      <c r="A470" s="16"/>
      <c r="B470" s="16"/>
      <c r="C470" s="21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1.25" customHeight="1">
      <c r="A471" s="16"/>
      <c r="B471" s="16"/>
      <c r="C471" s="21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1.25" customHeight="1">
      <c r="A472" s="16"/>
      <c r="B472" s="16"/>
      <c r="C472" s="21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1.25" customHeight="1">
      <c r="A473" s="16"/>
      <c r="B473" s="16"/>
      <c r="C473" s="21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1.25" customHeight="1">
      <c r="A474" s="16"/>
      <c r="B474" s="16"/>
      <c r="C474" s="21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1.25" customHeight="1">
      <c r="A475" s="16"/>
      <c r="B475" s="16"/>
      <c r="C475" s="21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1.25" customHeight="1">
      <c r="A476" s="16"/>
      <c r="B476" s="16"/>
      <c r="C476" s="21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1.25" customHeight="1">
      <c r="A477" s="16"/>
      <c r="B477" s="16"/>
      <c r="C477" s="21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1.25" customHeight="1">
      <c r="A478" s="16"/>
      <c r="B478" s="16"/>
      <c r="C478" s="21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1.25" customHeight="1">
      <c r="A479" s="16"/>
      <c r="B479" s="16"/>
      <c r="C479" s="21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1.25" customHeight="1">
      <c r="A480" s="16"/>
      <c r="B480" s="16"/>
      <c r="C480" s="21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1.25" customHeight="1">
      <c r="A481" s="16"/>
      <c r="B481" s="16"/>
      <c r="C481" s="21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1.25" customHeight="1">
      <c r="A482" s="16"/>
      <c r="B482" s="16"/>
      <c r="C482" s="21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1.25" customHeight="1">
      <c r="A483" s="16"/>
      <c r="B483" s="16"/>
      <c r="C483" s="21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1.25" customHeight="1">
      <c r="A484" s="16"/>
      <c r="B484" s="16"/>
      <c r="C484" s="21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1.25" customHeight="1">
      <c r="A485" s="16"/>
      <c r="B485" s="16"/>
      <c r="C485" s="21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1.25" customHeight="1">
      <c r="A486" s="16"/>
      <c r="B486" s="16"/>
      <c r="C486" s="21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1.25" customHeight="1">
      <c r="A487" s="16"/>
      <c r="B487" s="16"/>
      <c r="C487" s="21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1.25" customHeight="1">
      <c r="A488" s="16"/>
      <c r="B488" s="16"/>
      <c r="C488" s="21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1.25" customHeight="1">
      <c r="A489" s="16"/>
      <c r="B489" s="16"/>
      <c r="C489" s="21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1.25" customHeight="1">
      <c r="A490" s="16"/>
      <c r="B490" s="16"/>
      <c r="C490" s="21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1.25" customHeight="1">
      <c r="A491" s="16"/>
      <c r="B491" s="16"/>
      <c r="C491" s="21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1.25" customHeight="1">
      <c r="A492" s="16"/>
      <c r="B492" s="16"/>
      <c r="C492" s="21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1.25" customHeight="1">
      <c r="A493" s="16"/>
      <c r="B493" s="16"/>
      <c r="C493" s="21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1.25" customHeight="1">
      <c r="A494" s="16"/>
      <c r="B494" s="16"/>
      <c r="C494" s="21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1.25" customHeight="1">
      <c r="A495" s="16"/>
      <c r="B495" s="16"/>
      <c r="C495" s="21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1.25" customHeight="1">
      <c r="A496" s="16"/>
      <c r="B496" s="16"/>
      <c r="C496" s="21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1.25" customHeight="1">
      <c r="A497" s="16"/>
      <c r="B497" s="16"/>
      <c r="C497" s="21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1.25" customHeight="1">
      <c r="A498" s="16"/>
      <c r="B498" s="16"/>
      <c r="C498" s="21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1.25" customHeight="1">
      <c r="A499" s="16"/>
      <c r="B499" s="16"/>
      <c r="C499" s="21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1.25" customHeight="1">
      <c r="A500" s="16"/>
      <c r="B500" s="16"/>
      <c r="C500" s="21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1.25" customHeight="1">
      <c r="A501" s="16"/>
      <c r="B501" s="16"/>
      <c r="C501" s="21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1.25" customHeight="1">
      <c r="A502" s="16"/>
      <c r="B502" s="16"/>
      <c r="C502" s="21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1.25" customHeight="1">
      <c r="A503" s="16"/>
      <c r="B503" s="16"/>
      <c r="C503" s="21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1.25" customHeight="1">
      <c r="A504" s="16"/>
      <c r="B504" s="16"/>
      <c r="C504" s="21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1.25" customHeight="1">
      <c r="A505" s="16"/>
      <c r="B505" s="16"/>
      <c r="C505" s="21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1.25" customHeight="1">
      <c r="A506" s="16"/>
      <c r="B506" s="16"/>
      <c r="C506" s="21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1.25" customHeight="1">
      <c r="A507" s="16"/>
      <c r="B507" s="16"/>
      <c r="C507" s="21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1.25" customHeight="1">
      <c r="A508" s="16"/>
      <c r="B508" s="16"/>
      <c r="C508" s="21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1.25" customHeight="1">
      <c r="A509" s="16"/>
      <c r="B509" s="16"/>
      <c r="C509" s="21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1.25" customHeight="1">
      <c r="A510" s="16"/>
      <c r="B510" s="16"/>
      <c r="C510" s="21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1.25" customHeight="1">
      <c r="A511" s="16"/>
      <c r="B511" s="16"/>
      <c r="C511" s="21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1.25" customHeight="1">
      <c r="A512" s="16"/>
      <c r="B512" s="16"/>
      <c r="C512" s="21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1.25" customHeight="1">
      <c r="A513" s="16"/>
      <c r="B513" s="16"/>
      <c r="C513" s="21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1.25" customHeight="1">
      <c r="A514" s="16"/>
      <c r="B514" s="16"/>
      <c r="C514" s="21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1.25" customHeight="1">
      <c r="A515" s="16"/>
      <c r="B515" s="16"/>
      <c r="C515" s="21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1.25" customHeight="1">
      <c r="A516" s="16"/>
      <c r="B516" s="16"/>
      <c r="C516" s="21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1.25" customHeight="1">
      <c r="A517" s="16"/>
      <c r="B517" s="16"/>
      <c r="C517" s="21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1.25" customHeight="1">
      <c r="A518" s="16"/>
      <c r="B518" s="16"/>
      <c r="C518" s="21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1.25" customHeight="1">
      <c r="A519" s="16"/>
      <c r="B519" s="16"/>
      <c r="C519" s="21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1.25" customHeight="1">
      <c r="A520" s="16"/>
      <c r="B520" s="16"/>
      <c r="C520" s="21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1.25" customHeight="1">
      <c r="A521" s="16"/>
      <c r="B521" s="16"/>
      <c r="C521" s="21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1.25" customHeight="1">
      <c r="A522" s="16"/>
      <c r="B522" s="16"/>
      <c r="C522" s="21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1.25" customHeight="1">
      <c r="A523" s="16"/>
      <c r="B523" s="16"/>
      <c r="C523" s="21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1.25" customHeight="1">
      <c r="A524" s="16"/>
      <c r="B524" s="16"/>
      <c r="C524" s="21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1.25" customHeight="1">
      <c r="A525" s="16"/>
      <c r="B525" s="16"/>
      <c r="C525" s="21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1.25" customHeight="1">
      <c r="A526" s="16"/>
      <c r="B526" s="16"/>
      <c r="C526" s="21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1.25" customHeight="1">
      <c r="A527" s="16"/>
      <c r="B527" s="16"/>
      <c r="C527" s="21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1.25" customHeight="1">
      <c r="A528" s="16"/>
      <c r="B528" s="16"/>
      <c r="C528" s="21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1.25" customHeight="1">
      <c r="A529" s="16"/>
      <c r="B529" s="16"/>
      <c r="C529" s="21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1.25" customHeight="1">
      <c r="A530" s="16"/>
      <c r="B530" s="16"/>
      <c r="C530" s="21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1.25" customHeight="1">
      <c r="A531" s="16"/>
      <c r="B531" s="16"/>
      <c r="C531" s="21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1.25" customHeight="1">
      <c r="A532" s="16"/>
      <c r="B532" s="16"/>
      <c r="C532" s="21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1.25" customHeight="1">
      <c r="A533" s="16"/>
      <c r="B533" s="16"/>
      <c r="C533" s="21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1.25" customHeight="1">
      <c r="A534" s="16"/>
      <c r="B534" s="16"/>
      <c r="C534" s="21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1.25" customHeight="1">
      <c r="A535" s="16"/>
      <c r="B535" s="16"/>
      <c r="C535" s="21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1.25" customHeight="1">
      <c r="A536" s="16"/>
      <c r="B536" s="16"/>
      <c r="C536" s="21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1.25" customHeight="1">
      <c r="A537" s="16"/>
      <c r="B537" s="16"/>
      <c r="C537" s="21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1.25" customHeight="1">
      <c r="A538" s="16"/>
      <c r="B538" s="16"/>
      <c r="C538" s="21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1.25" customHeight="1">
      <c r="A539" s="16"/>
      <c r="B539" s="16"/>
      <c r="C539" s="21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1.25" customHeight="1">
      <c r="A540" s="16"/>
      <c r="B540" s="16"/>
      <c r="C540" s="21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1.25" customHeight="1">
      <c r="A541" s="16"/>
      <c r="B541" s="16"/>
      <c r="C541" s="21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1.25" customHeight="1">
      <c r="A542" s="16"/>
      <c r="B542" s="16"/>
      <c r="C542" s="21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1.25" customHeight="1">
      <c r="A543" s="16"/>
      <c r="B543" s="16"/>
      <c r="C543" s="21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1.25" customHeight="1">
      <c r="A544" s="16"/>
      <c r="B544" s="16"/>
      <c r="C544" s="21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1.25" customHeight="1">
      <c r="A545" s="16"/>
      <c r="B545" s="16"/>
      <c r="C545" s="21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1.25" customHeight="1">
      <c r="A546" s="16"/>
      <c r="B546" s="16"/>
      <c r="C546" s="21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1.25" customHeight="1">
      <c r="A547" s="16"/>
      <c r="B547" s="16"/>
      <c r="C547" s="21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1.25" customHeight="1">
      <c r="A548" s="16"/>
      <c r="B548" s="16"/>
      <c r="C548" s="21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1.25" customHeight="1">
      <c r="A549" s="16"/>
      <c r="B549" s="16"/>
      <c r="C549" s="21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1.25" customHeight="1">
      <c r="A550" s="16"/>
      <c r="B550" s="16"/>
      <c r="C550" s="21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1.25" customHeight="1">
      <c r="A551" s="16"/>
      <c r="B551" s="16"/>
      <c r="C551" s="21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1.25" customHeight="1">
      <c r="A552" s="16"/>
      <c r="B552" s="16"/>
      <c r="C552" s="21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1.25" customHeight="1">
      <c r="A553" s="16"/>
      <c r="B553" s="16"/>
      <c r="C553" s="21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1.25" customHeight="1">
      <c r="A554" s="16"/>
      <c r="B554" s="16"/>
      <c r="C554" s="21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1.25" customHeight="1">
      <c r="A555" s="16"/>
      <c r="B555" s="16"/>
      <c r="C555" s="21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1.25" customHeight="1">
      <c r="A556" s="16"/>
      <c r="B556" s="16"/>
      <c r="C556" s="21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1.25" customHeight="1">
      <c r="A557" s="16"/>
      <c r="B557" s="16"/>
      <c r="C557" s="21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1.25" customHeight="1">
      <c r="A558" s="16"/>
      <c r="B558" s="16"/>
      <c r="C558" s="21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1.25" customHeight="1">
      <c r="A559" s="16"/>
      <c r="B559" s="16"/>
      <c r="C559" s="21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1.25" customHeight="1">
      <c r="A560" s="16"/>
      <c r="B560" s="16"/>
      <c r="C560" s="21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1.25" customHeight="1">
      <c r="A561" s="16"/>
      <c r="B561" s="16"/>
      <c r="C561" s="21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1.25" customHeight="1">
      <c r="A562" s="16"/>
      <c r="B562" s="16"/>
      <c r="C562" s="21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1.25" customHeight="1">
      <c r="A563" s="16"/>
      <c r="B563" s="16"/>
      <c r="C563" s="21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1.25" customHeight="1">
      <c r="A564" s="16"/>
      <c r="B564" s="16"/>
      <c r="C564" s="21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1.25" customHeight="1">
      <c r="A565" s="16"/>
      <c r="B565" s="16"/>
      <c r="C565" s="21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1.25" customHeight="1">
      <c r="A566" s="16"/>
      <c r="B566" s="16"/>
      <c r="C566" s="21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1.25" customHeight="1">
      <c r="A567" s="16"/>
      <c r="B567" s="16"/>
      <c r="C567" s="21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1.25" customHeight="1">
      <c r="A568" s="16"/>
      <c r="B568" s="16"/>
      <c r="C568" s="21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1.25" customHeight="1">
      <c r="A569" s="16"/>
      <c r="B569" s="16"/>
      <c r="C569" s="21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1.25" customHeight="1">
      <c r="A570" s="16"/>
      <c r="B570" s="16"/>
      <c r="C570" s="21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1.25" customHeight="1">
      <c r="A571" s="16"/>
      <c r="B571" s="16"/>
      <c r="C571" s="21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1.25" customHeight="1">
      <c r="A572" s="16"/>
      <c r="B572" s="16"/>
      <c r="C572" s="21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1.25" customHeight="1">
      <c r="A573" s="16"/>
      <c r="B573" s="16"/>
      <c r="C573" s="21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1.25" customHeight="1">
      <c r="A574" s="16"/>
      <c r="B574" s="16"/>
      <c r="C574" s="21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1.25" customHeight="1">
      <c r="A575" s="16"/>
      <c r="B575" s="16"/>
      <c r="C575" s="21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1.25" customHeight="1">
      <c r="A576" s="16"/>
      <c r="B576" s="16"/>
      <c r="C576" s="21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1.25" customHeight="1">
      <c r="A577" s="16"/>
      <c r="B577" s="16"/>
      <c r="C577" s="21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1.25" customHeight="1">
      <c r="A578" s="16"/>
      <c r="B578" s="16"/>
      <c r="C578" s="21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1.25" customHeight="1">
      <c r="A579" s="16"/>
      <c r="B579" s="16"/>
      <c r="C579" s="21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1.25" customHeight="1">
      <c r="A580" s="16"/>
      <c r="B580" s="16"/>
      <c r="C580" s="21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1.25" customHeight="1">
      <c r="A581" s="16"/>
      <c r="B581" s="16"/>
      <c r="C581" s="21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1.25" customHeight="1">
      <c r="A582" s="16"/>
      <c r="B582" s="16"/>
      <c r="C582" s="21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1.25" customHeight="1">
      <c r="A583" s="16"/>
      <c r="B583" s="16"/>
      <c r="C583" s="21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1.25" customHeight="1">
      <c r="A584" s="16"/>
      <c r="B584" s="16"/>
      <c r="C584" s="21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1.25" customHeight="1">
      <c r="A585" s="16"/>
      <c r="B585" s="16"/>
      <c r="C585" s="21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1.25" customHeight="1">
      <c r="A586" s="16"/>
      <c r="B586" s="16"/>
      <c r="C586" s="21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1.25" customHeight="1">
      <c r="A587" s="16"/>
      <c r="B587" s="16"/>
      <c r="C587" s="21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1.25" customHeight="1">
      <c r="A588" s="16"/>
      <c r="B588" s="16"/>
      <c r="C588" s="21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1.25" customHeight="1">
      <c r="A589" s="16"/>
      <c r="B589" s="16"/>
      <c r="C589" s="21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1.25" customHeight="1">
      <c r="A590" s="16"/>
      <c r="B590" s="16"/>
      <c r="C590" s="21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1.25" customHeight="1">
      <c r="A591" s="16"/>
      <c r="B591" s="16"/>
      <c r="C591" s="21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1.25" customHeight="1">
      <c r="A592" s="16"/>
      <c r="B592" s="16"/>
      <c r="C592" s="21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1.25" customHeight="1">
      <c r="A593" s="16"/>
      <c r="B593" s="16"/>
      <c r="C593" s="21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1.25" customHeight="1">
      <c r="A594" s="16"/>
      <c r="B594" s="16"/>
      <c r="C594" s="21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1.25" customHeight="1">
      <c r="A595" s="16"/>
      <c r="B595" s="16"/>
      <c r="C595" s="21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1.25" customHeight="1">
      <c r="A596" s="16"/>
      <c r="B596" s="16"/>
      <c r="C596" s="21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1.25" customHeight="1">
      <c r="A597" s="16"/>
      <c r="B597" s="16"/>
      <c r="C597" s="21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1.25" customHeight="1">
      <c r="A598" s="16"/>
      <c r="B598" s="16"/>
      <c r="C598" s="21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1.25" customHeight="1">
      <c r="A599" s="16"/>
      <c r="B599" s="16"/>
      <c r="C599" s="21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1.25" customHeight="1">
      <c r="A600" s="16"/>
      <c r="B600" s="16"/>
      <c r="C600" s="21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1.25" customHeight="1">
      <c r="A601" s="16"/>
      <c r="B601" s="16"/>
      <c r="C601" s="21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1.25" customHeight="1">
      <c r="A602" s="16"/>
      <c r="B602" s="16"/>
      <c r="C602" s="21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1.25" customHeight="1">
      <c r="A603" s="16"/>
      <c r="B603" s="16"/>
      <c r="C603" s="21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1.25" customHeight="1">
      <c r="A604" s="16"/>
      <c r="B604" s="16"/>
      <c r="C604" s="21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1.25" customHeight="1">
      <c r="A605" s="16"/>
      <c r="B605" s="16"/>
      <c r="C605" s="21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1.25" customHeight="1">
      <c r="A606" s="16"/>
      <c r="B606" s="16"/>
      <c r="C606" s="21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1.25" customHeight="1">
      <c r="A607" s="16"/>
      <c r="B607" s="16"/>
      <c r="C607" s="21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1.25" customHeight="1">
      <c r="A608" s="16"/>
      <c r="B608" s="16"/>
      <c r="C608" s="21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1.25" customHeight="1">
      <c r="A609" s="16"/>
      <c r="B609" s="16"/>
      <c r="C609" s="21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1.25" customHeight="1">
      <c r="A610" s="16"/>
      <c r="B610" s="16"/>
      <c r="C610" s="21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1.25" customHeight="1">
      <c r="A611" s="16"/>
      <c r="B611" s="16"/>
      <c r="C611" s="21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1.25" customHeight="1">
      <c r="A612" s="16"/>
      <c r="B612" s="16"/>
      <c r="C612" s="21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1.25" customHeight="1">
      <c r="A613" s="16"/>
      <c r="B613" s="16"/>
      <c r="C613" s="21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1.25" customHeight="1">
      <c r="A614" s="16"/>
      <c r="B614" s="16"/>
      <c r="C614" s="21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1.25" customHeight="1">
      <c r="A615" s="16"/>
      <c r="B615" s="16"/>
      <c r="C615" s="21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1.25" customHeight="1">
      <c r="A616" s="16"/>
      <c r="B616" s="16"/>
      <c r="C616" s="21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1.25" customHeight="1">
      <c r="A617" s="16"/>
      <c r="B617" s="16"/>
      <c r="C617" s="21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1.25" customHeight="1">
      <c r="A618" s="16"/>
      <c r="B618" s="16"/>
      <c r="C618" s="21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1.25" customHeight="1">
      <c r="A619" s="16"/>
      <c r="B619" s="16"/>
      <c r="C619" s="21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1.25" customHeight="1">
      <c r="A620" s="16"/>
      <c r="B620" s="16"/>
      <c r="C620" s="21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1.25" customHeight="1">
      <c r="A621" s="16"/>
      <c r="B621" s="16"/>
      <c r="C621" s="21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1.25" customHeight="1">
      <c r="A622" s="16"/>
      <c r="B622" s="16"/>
      <c r="C622" s="21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1.25" customHeight="1">
      <c r="A623" s="16"/>
      <c r="B623" s="16"/>
      <c r="C623" s="21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1.25" customHeight="1">
      <c r="A624" s="16"/>
      <c r="B624" s="16"/>
      <c r="C624" s="21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1.25" customHeight="1">
      <c r="A625" s="16"/>
      <c r="B625" s="16"/>
      <c r="C625" s="21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1.25" customHeight="1">
      <c r="A626" s="16"/>
      <c r="B626" s="16"/>
      <c r="C626" s="21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1.25" customHeight="1">
      <c r="A627" s="16"/>
      <c r="B627" s="16"/>
      <c r="C627" s="21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1.25" customHeight="1">
      <c r="A628" s="16"/>
      <c r="B628" s="16"/>
      <c r="C628" s="21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1.25" customHeight="1">
      <c r="A629" s="16"/>
      <c r="B629" s="16"/>
      <c r="C629" s="21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1.25" customHeight="1">
      <c r="A630" s="16"/>
      <c r="B630" s="16"/>
      <c r="C630" s="21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1.25" customHeight="1">
      <c r="A631" s="16"/>
      <c r="B631" s="16"/>
      <c r="C631" s="21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1.25" customHeight="1">
      <c r="A632" s="16"/>
      <c r="B632" s="16"/>
      <c r="C632" s="21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1.25" customHeight="1">
      <c r="A633" s="16"/>
      <c r="B633" s="16"/>
      <c r="C633" s="21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1.25" customHeight="1">
      <c r="A634" s="16"/>
      <c r="B634" s="16"/>
      <c r="C634" s="21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1.25" customHeight="1">
      <c r="A635" s="16"/>
      <c r="B635" s="16"/>
      <c r="C635" s="21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1.25" customHeight="1">
      <c r="A636" s="16"/>
      <c r="B636" s="16"/>
      <c r="C636" s="21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1.25" customHeight="1">
      <c r="A637" s="16"/>
      <c r="B637" s="16"/>
      <c r="C637" s="21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1.25" customHeight="1">
      <c r="A638" s="16"/>
      <c r="B638" s="16"/>
      <c r="C638" s="21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1.25" customHeight="1">
      <c r="A639" s="16"/>
      <c r="B639" s="16"/>
      <c r="C639" s="21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1.25" customHeight="1">
      <c r="A640" s="16"/>
      <c r="B640" s="16"/>
      <c r="C640" s="21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1.25" customHeight="1">
      <c r="A641" s="16"/>
      <c r="B641" s="16"/>
      <c r="C641" s="21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1.25" customHeight="1">
      <c r="A642" s="16"/>
      <c r="B642" s="16"/>
      <c r="C642" s="21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1.25" customHeight="1">
      <c r="A643" s="16"/>
      <c r="B643" s="16"/>
      <c r="C643" s="21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1.25" customHeight="1">
      <c r="A644" s="16"/>
      <c r="B644" s="16"/>
      <c r="C644" s="21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1.25" customHeight="1">
      <c r="A645" s="16"/>
      <c r="B645" s="16"/>
      <c r="C645" s="21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1.25" customHeight="1">
      <c r="A646" s="16"/>
      <c r="B646" s="16"/>
      <c r="C646" s="21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1.25" customHeight="1">
      <c r="A647" s="16"/>
      <c r="B647" s="16"/>
      <c r="C647" s="21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1.25" customHeight="1">
      <c r="A648" s="16"/>
      <c r="B648" s="16"/>
      <c r="C648" s="21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1.25" customHeight="1">
      <c r="A649" s="16"/>
      <c r="B649" s="16"/>
      <c r="C649" s="21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1.25" customHeight="1">
      <c r="A650" s="16"/>
      <c r="B650" s="16"/>
      <c r="C650" s="21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1.25" customHeight="1">
      <c r="A651" s="16"/>
      <c r="B651" s="16"/>
      <c r="C651" s="21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1.25" customHeight="1">
      <c r="A652" s="16"/>
      <c r="B652" s="16"/>
      <c r="C652" s="21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1.25" customHeight="1">
      <c r="A653" s="16"/>
      <c r="B653" s="16"/>
      <c r="C653" s="21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1.25" customHeight="1">
      <c r="A654" s="16"/>
      <c r="B654" s="16"/>
      <c r="C654" s="21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1.25" customHeight="1">
      <c r="A655" s="16"/>
      <c r="B655" s="16"/>
      <c r="C655" s="21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1.25" customHeight="1">
      <c r="A656" s="16"/>
      <c r="B656" s="16"/>
      <c r="C656" s="21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1.25" customHeight="1">
      <c r="A657" s="16"/>
      <c r="B657" s="16"/>
      <c r="C657" s="21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1.25" customHeight="1">
      <c r="A658" s="16"/>
      <c r="B658" s="16"/>
      <c r="C658" s="21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1.25" customHeight="1">
      <c r="A659" s="16"/>
      <c r="B659" s="16"/>
      <c r="C659" s="21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1.25" customHeight="1">
      <c r="A660" s="16"/>
      <c r="B660" s="16"/>
      <c r="C660" s="21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1.25" customHeight="1">
      <c r="A661" s="16"/>
      <c r="B661" s="16"/>
      <c r="C661" s="21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1.25" customHeight="1">
      <c r="A662" s="16"/>
      <c r="B662" s="16"/>
      <c r="C662" s="21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1.25" customHeight="1">
      <c r="A663" s="16"/>
      <c r="B663" s="16"/>
      <c r="C663" s="21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1.25" customHeight="1">
      <c r="A664" s="16"/>
      <c r="B664" s="16"/>
      <c r="C664" s="21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1.25" customHeight="1">
      <c r="A665" s="16"/>
      <c r="B665" s="16"/>
      <c r="C665" s="21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1.25" customHeight="1">
      <c r="A666" s="16"/>
      <c r="B666" s="16"/>
      <c r="C666" s="21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1.25" customHeight="1">
      <c r="A667" s="16"/>
      <c r="B667" s="16"/>
      <c r="C667" s="21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1.25" customHeight="1">
      <c r="A668" s="16"/>
      <c r="B668" s="16"/>
      <c r="C668" s="21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1.25" customHeight="1">
      <c r="A669" s="16"/>
      <c r="B669" s="16"/>
      <c r="C669" s="21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1.25" customHeight="1">
      <c r="A670" s="16"/>
      <c r="B670" s="16"/>
      <c r="C670" s="21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1.25" customHeight="1">
      <c r="A671" s="16"/>
      <c r="B671" s="16"/>
      <c r="C671" s="21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1.25" customHeight="1">
      <c r="A672" s="16"/>
      <c r="B672" s="16"/>
      <c r="C672" s="21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1.25" customHeight="1">
      <c r="A673" s="16"/>
      <c r="B673" s="16"/>
      <c r="C673" s="21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1.25" customHeight="1">
      <c r="A674" s="16"/>
      <c r="B674" s="16"/>
      <c r="C674" s="21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1.25" customHeight="1">
      <c r="A675" s="16"/>
      <c r="B675" s="16"/>
      <c r="C675" s="21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1.25" customHeight="1">
      <c r="A676" s="16"/>
      <c r="B676" s="16"/>
      <c r="C676" s="21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1.25" customHeight="1">
      <c r="A677" s="16"/>
      <c r="B677" s="16"/>
      <c r="C677" s="21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1.25" customHeight="1">
      <c r="A678" s="16"/>
      <c r="B678" s="16"/>
      <c r="C678" s="21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1.25" customHeight="1">
      <c r="A679" s="16"/>
      <c r="B679" s="16"/>
      <c r="C679" s="21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1.25" customHeight="1">
      <c r="A680" s="16"/>
      <c r="B680" s="16"/>
      <c r="C680" s="21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1.25" customHeight="1">
      <c r="A681" s="16"/>
      <c r="B681" s="16"/>
      <c r="C681" s="21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1.25" customHeight="1">
      <c r="A682" s="16"/>
      <c r="B682" s="16"/>
      <c r="C682" s="21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1.25" customHeight="1">
      <c r="A683" s="16"/>
      <c r="B683" s="16"/>
      <c r="C683" s="21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1.25" customHeight="1">
      <c r="A684" s="16"/>
      <c r="B684" s="16"/>
      <c r="C684" s="21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1.25" customHeight="1">
      <c r="A685" s="16"/>
      <c r="B685" s="16"/>
      <c r="C685" s="21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1.25" customHeight="1">
      <c r="A686" s="16"/>
      <c r="B686" s="16"/>
      <c r="C686" s="21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1.25" customHeight="1">
      <c r="A687" s="16"/>
      <c r="B687" s="16"/>
      <c r="C687" s="21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1.25" customHeight="1">
      <c r="A688" s="16"/>
      <c r="B688" s="16"/>
      <c r="C688" s="21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1.25" customHeight="1">
      <c r="A689" s="16"/>
      <c r="B689" s="16"/>
      <c r="C689" s="21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1.25" customHeight="1">
      <c r="A690" s="16"/>
      <c r="B690" s="16"/>
      <c r="C690" s="21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1.25" customHeight="1">
      <c r="A691" s="16"/>
      <c r="B691" s="16"/>
      <c r="C691" s="21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1.25" customHeight="1">
      <c r="A692" s="16"/>
      <c r="B692" s="16"/>
      <c r="C692" s="21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1.25" customHeight="1">
      <c r="A693" s="16"/>
      <c r="B693" s="16"/>
      <c r="C693" s="21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1.25" customHeight="1">
      <c r="A694" s="16"/>
      <c r="B694" s="16"/>
      <c r="C694" s="21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1.25" customHeight="1">
      <c r="A695" s="16"/>
      <c r="B695" s="16"/>
      <c r="C695" s="21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1.25" customHeight="1">
      <c r="A696" s="16"/>
      <c r="B696" s="16"/>
      <c r="C696" s="21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1.25" customHeight="1">
      <c r="A697" s="16"/>
      <c r="B697" s="16"/>
      <c r="C697" s="21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1.25" customHeight="1">
      <c r="A698" s="16"/>
      <c r="B698" s="16"/>
      <c r="C698" s="21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1.25" customHeight="1">
      <c r="A699" s="16"/>
      <c r="B699" s="16"/>
      <c r="C699" s="21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1.25" customHeight="1">
      <c r="A700" s="16"/>
      <c r="B700" s="16"/>
      <c r="C700" s="21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1.25" customHeight="1">
      <c r="A701" s="16"/>
      <c r="B701" s="16"/>
      <c r="C701" s="21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1.25" customHeight="1">
      <c r="A702" s="16"/>
      <c r="B702" s="16"/>
      <c r="C702" s="21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1.25" customHeight="1">
      <c r="A703" s="16"/>
      <c r="B703" s="16"/>
      <c r="C703" s="21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1.25" customHeight="1">
      <c r="A704" s="16"/>
      <c r="B704" s="16"/>
      <c r="C704" s="21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1.25" customHeight="1">
      <c r="A705" s="16"/>
      <c r="B705" s="16"/>
      <c r="C705" s="21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1.25" customHeight="1">
      <c r="A706" s="16"/>
      <c r="B706" s="16"/>
      <c r="C706" s="21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1.25" customHeight="1">
      <c r="A707" s="16"/>
      <c r="B707" s="16"/>
      <c r="C707" s="21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1.25" customHeight="1">
      <c r="A708" s="16"/>
      <c r="B708" s="16"/>
      <c r="C708" s="21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1.25" customHeight="1">
      <c r="A709" s="16"/>
      <c r="B709" s="16"/>
      <c r="C709" s="21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1.25" customHeight="1">
      <c r="A710" s="16"/>
      <c r="B710" s="16"/>
      <c r="C710" s="21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1.25" customHeight="1">
      <c r="A711" s="16"/>
      <c r="B711" s="16"/>
      <c r="C711" s="21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1.25" customHeight="1">
      <c r="A712" s="16"/>
      <c r="B712" s="16"/>
      <c r="C712" s="21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1.25" customHeight="1">
      <c r="A713" s="16"/>
      <c r="B713" s="16"/>
      <c r="C713" s="21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1.25" customHeight="1">
      <c r="A714" s="16"/>
      <c r="B714" s="16"/>
      <c r="C714" s="21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1.25" customHeight="1">
      <c r="A715" s="16"/>
      <c r="B715" s="16"/>
      <c r="C715" s="21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1.25" customHeight="1">
      <c r="A716" s="16"/>
      <c r="B716" s="16"/>
      <c r="C716" s="21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1.25" customHeight="1">
      <c r="A717" s="16"/>
      <c r="B717" s="16"/>
      <c r="C717" s="21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1.25" customHeight="1">
      <c r="A718" s="16"/>
      <c r="B718" s="16"/>
      <c r="C718" s="21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1.25" customHeight="1">
      <c r="A719" s="16"/>
      <c r="B719" s="16"/>
      <c r="C719" s="21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1.25" customHeight="1">
      <c r="A720" s="16"/>
      <c r="B720" s="16"/>
      <c r="C720" s="21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1.25" customHeight="1">
      <c r="A721" s="16"/>
      <c r="B721" s="16"/>
      <c r="C721" s="21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1.25" customHeight="1">
      <c r="A722" s="16"/>
      <c r="B722" s="16"/>
      <c r="C722" s="21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1.25" customHeight="1">
      <c r="A723" s="16"/>
      <c r="B723" s="16"/>
      <c r="C723" s="21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1.25" customHeight="1">
      <c r="A724" s="16"/>
      <c r="B724" s="16"/>
      <c r="C724" s="21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1.25" customHeight="1">
      <c r="A725" s="16"/>
      <c r="B725" s="16"/>
      <c r="C725" s="21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1.25" customHeight="1">
      <c r="A726" s="16"/>
      <c r="B726" s="16"/>
      <c r="C726" s="21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1.25" customHeight="1">
      <c r="A727" s="16"/>
      <c r="B727" s="16"/>
      <c r="C727" s="21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1.25" customHeight="1">
      <c r="A728" s="16"/>
      <c r="B728" s="16"/>
      <c r="C728" s="21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1.25" customHeight="1">
      <c r="A729" s="16"/>
      <c r="B729" s="16"/>
      <c r="C729" s="21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1.25" customHeight="1">
      <c r="A730" s="16"/>
      <c r="B730" s="16"/>
      <c r="C730" s="21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1.25" customHeight="1">
      <c r="A731" s="16"/>
      <c r="B731" s="16"/>
      <c r="C731" s="21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1.25" customHeight="1">
      <c r="A732" s="16"/>
      <c r="B732" s="16"/>
      <c r="C732" s="21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1.25" customHeight="1">
      <c r="A733" s="16"/>
      <c r="B733" s="16"/>
      <c r="C733" s="21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1.25" customHeight="1">
      <c r="A734" s="16"/>
      <c r="B734" s="16"/>
      <c r="C734" s="21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1.25" customHeight="1">
      <c r="A735" s="16"/>
      <c r="B735" s="16"/>
      <c r="C735" s="21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1.25" customHeight="1">
      <c r="A736" s="16"/>
      <c r="B736" s="16"/>
      <c r="C736" s="21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1.25" customHeight="1">
      <c r="A737" s="16"/>
      <c r="B737" s="16"/>
      <c r="C737" s="21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1.25" customHeight="1">
      <c r="A738" s="16"/>
      <c r="B738" s="16"/>
      <c r="C738" s="21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1.25" customHeight="1">
      <c r="A739" s="16"/>
      <c r="B739" s="16"/>
      <c r="C739" s="21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1.25" customHeight="1">
      <c r="A740" s="16"/>
      <c r="B740" s="16"/>
      <c r="C740" s="21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1.25" customHeight="1">
      <c r="A741" s="16"/>
      <c r="B741" s="16"/>
      <c r="C741" s="21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1.25" customHeight="1">
      <c r="A742" s="16"/>
      <c r="B742" s="16"/>
      <c r="C742" s="21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1.25" customHeight="1">
      <c r="A743" s="16"/>
      <c r="B743" s="16"/>
      <c r="C743" s="21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1.25" customHeight="1">
      <c r="A744" s="16"/>
      <c r="B744" s="16"/>
      <c r="C744" s="21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1.25" customHeight="1">
      <c r="A745" s="16"/>
      <c r="B745" s="16"/>
      <c r="C745" s="21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1.25" customHeight="1">
      <c r="A746" s="16"/>
      <c r="B746" s="16"/>
      <c r="C746" s="21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1.25" customHeight="1">
      <c r="A747" s="16"/>
      <c r="B747" s="16"/>
      <c r="C747" s="21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1.25" customHeight="1">
      <c r="A748" s="16"/>
      <c r="B748" s="16"/>
      <c r="C748" s="21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1.25" customHeight="1">
      <c r="A749" s="16"/>
      <c r="B749" s="16"/>
      <c r="C749" s="21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1.25" customHeight="1">
      <c r="A750" s="16"/>
      <c r="B750" s="16"/>
      <c r="C750" s="21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1.25" customHeight="1">
      <c r="A751" s="16"/>
      <c r="B751" s="16"/>
      <c r="C751" s="21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1.25" customHeight="1">
      <c r="A752" s="16"/>
      <c r="B752" s="16"/>
      <c r="C752" s="21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1.25" customHeight="1">
      <c r="A753" s="16"/>
      <c r="B753" s="16"/>
      <c r="C753" s="21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1.25" customHeight="1">
      <c r="A754" s="16"/>
      <c r="B754" s="16"/>
      <c r="C754" s="21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1.25" customHeight="1">
      <c r="A755" s="16"/>
      <c r="B755" s="16"/>
      <c r="C755" s="21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1.25" customHeight="1">
      <c r="A756" s="16"/>
      <c r="B756" s="16"/>
      <c r="C756" s="21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1.25" customHeight="1">
      <c r="A757" s="16"/>
      <c r="B757" s="16"/>
      <c r="C757" s="21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1.25" customHeight="1">
      <c r="A758" s="16"/>
      <c r="B758" s="16"/>
      <c r="C758" s="21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1.25" customHeight="1">
      <c r="A759" s="16"/>
      <c r="B759" s="16"/>
      <c r="C759" s="21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1.25" customHeight="1">
      <c r="A760" s="16"/>
      <c r="B760" s="16"/>
      <c r="C760" s="21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1.25" customHeight="1">
      <c r="A761" s="16"/>
      <c r="B761" s="16"/>
      <c r="C761" s="21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1.25" customHeight="1">
      <c r="A762" s="16"/>
      <c r="B762" s="16"/>
      <c r="C762" s="21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1.25" customHeight="1">
      <c r="A763" s="16"/>
      <c r="B763" s="16"/>
      <c r="C763" s="21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1.25" customHeight="1">
      <c r="A764" s="16"/>
      <c r="B764" s="16"/>
      <c r="C764" s="21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1.25" customHeight="1">
      <c r="A765" s="16"/>
      <c r="B765" s="16"/>
      <c r="C765" s="21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1.25" customHeight="1">
      <c r="A766" s="16"/>
      <c r="B766" s="16"/>
      <c r="C766" s="21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1.25" customHeight="1">
      <c r="A767" s="16"/>
      <c r="B767" s="16"/>
      <c r="C767" s="21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1.25" customHeight="1">
      <c r="A768" s="16"/>
      <c r="B768" s="16"/>
      <c r="C768" s="21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1.25" customHeight="1">
      <c r="A769" s="16"/>
      <c r="B769" s="16"/>
      <c r="C769" s="21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1.25" customHeight="1">
      <c r="A770" s="16"/>
      <c r="B770" s="16"/>
      <c r="C770" s="21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1.25" customHeight="1">
      <c r="A771" s="16"/>
      <c r="B771" s="16"/>
      <c r="C771" s="21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1.25" customHeight="1">
      <c r="A772" s="16"/>
      <c r="B772" s="16"/>
      <c r="C772" s="21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" customHeight="1"/>
    <row r="774" spans="1:26" ht="15" customHeight="1"/>
    <row r="775" spans="1:26" ht="15" customHeight="1"/>
    <row r="776" spans="1:26" ht="15" customHeight="1"/>
    <row r="777" spans="1:26" ht="15" customHeight="1"/>
    <row r="778" spans="1:26" ht="15" customHeight="1"/>
    <row r="779" spans="1:26" ht="15" customHeight="1"/>
    <row r="780" spans="1:26" ht="15" customHeight="1"/>
    <row r="781" spans="1:26" ht="15" customHeight="1"/>
    <row r="782" spans="1:26" ht="15" customHeight="1"/>
    <row r="783" spans="1:26" ht="15" customHeight="1"/>
    <row r="784" spans="1:26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</sheetData>
  <mergeCells count="2">
    <mergeCell ref="A7:D7"/>
    <mergeCell ref="E7:J7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1"/>
  <sheetViews>
    <sheetView zoomScale="70" zoomScaleNormal="70" workbookViewId="0">
      <pane ySplit="8" topLeftCell="A9" activePane="bottomLeft" state="frozen"/>
      <selection pane="bottomLeft" activeCell="A9" sqref="A9"/>
    </sheetView>
  </sheetViews>
  <sheetFormatPr defaultColWidth="14.42578125" defaultRowHeight="15" customHeight="1"/>
  <cols>
    <col min="1" max="1" width="26.140625" customWidth="1"/>
    <col min="2" max="2" width="34" customWidth="1"/>
    <col min="3" max="3" width="10.85546875" customWidth="1"/>
    <col min="4" max="4" width="12.28515625" customWidth="1"/>
    <col min="5" max="5" width="20.42578125" customWidth="1"/>
    <col min="6" max="6" width="72.140625" customWidth="1"/>
    <col min="7" max="8" width="17.5703125" customWidth="1"/>
    <col min="9" max="9" width="16.85546875" customWidth="1"/>
    <col min="10" max="14" width="17.5703125" customWidth="1"/>
    <col min="15" max="30" width="8.7109375" customWidth="1"/>
  </cols>
  <sheetData>
    <row r="1" spans="1:30" ht="11.25" customHeight="1">
      <c r="A1" s="1" t="s">
        <v>0</v>
      </c>
      <c r="B1" s="39"/>
      <c r="C1" s="39"/>
      <c r="D1" s="36"/>
      <c r="E1" s="37"/>
      <c r="F1" s="36"/>
      <c r="G1" s="3" t="s">
        <v>1</v>
      </c>
      <c r="H1" s="4">
        <f>COUNTA(H9:H141)</f>
        <v>132</v>
      </c>
      <c r="I1" s="4"/>
      <c r="J1" s="4"/>
      <c r="K1" s="5"/>
      <c r="L1" s="6"/>
      <c r="M1" s="5" t="s">
        <v>2</v>
      </c>
      <c r="N1" s="6">
        <f>COUNTA(#REF!)</f>
        <v>1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1.25" customHeight="1">
      <c r="A2" s="1"/>
      <c r="B2" s="39"/>
      <c r="C2" s="39"/>
      <c r="D2" s="36"/>
      <c r="E2" s="37"/>
      <c r="F2" s="36"/>
      <c r="G2" s="3" t="s">
        <v>3</v>
      </c>
      <c r="H2" s="4">
        <f>COUNTIFS(I9:I141,"결함")</f>
        <v>0</v>
      </c>
      <c r="I2" s="5" t="s">
        <v>4</v>
      </c>
      <c r="J2" s="4">
        <f ca="1">COUNTIFS(I8:I141,"결함",M8:M141,"&lt;="&amp;TODAY())</f>
        <v>0</v>
      </c>
      <c r="K2" s="5" t="s">
        <v>5</v>
      </c>
      <c r="L2" s="6">
        <f>COUNTIFS(J9:J141,"반영")</f>
        <v>130</v>
      </c>
      <c r="M2" s="5" t="s">
        <v>6</v>
      </c>
      <c r="N2" s="6">
        <f ca="1">COUNTIFS(J8:J141,"반영",M8:M141,"&lt;="&amp;TODAY())</f>
        <v>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1.25" customHeight="1">
      <c r="A3" s="1"/>
      <c r="B3" s="39"/>
      <c r="C3" s="39"/>
      <c r="D3" s="36"/>
      <c r="E3" s="37"/>
      <c r="F3" s="36"/>
      <c r="G3" s="3" t="s">
        <v>7</v>
      </c>
      <c r="H3" s="4">
        <f>COUNTIFS(I9:I141,"개선사항")</f>
        <v>0</v>
      </c>
      <c r="I3" s="5" t="s">
        <v>8</v>
      </c>
      <c r="J3" s="4">
        <f ca="1">COUNTIFS(I8:I141,"개선사항",M8:M141,"&lt;="&amp;TODAY())</f>
        <v>0</v>
      </c>
      <c r="K3" s="5" t="s">
        <v>9</v>
      </c>
      <c r="L3" s="6">
        <f>COUNTIFS(J9:J141,"미반영")</f>
        <v>2</v>
      </c>
      <c r="M3" s="4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1.25" customHeight="1">
      <c r="A4" s="1"/>
      <c r="B4" s="39"/>
      <c r="C4" s="39"/>
      <c r="D4" s="36"/>
      <c r="E4" s="37"/>
      <c r="F4" s="36"/>
      <c r="G4" s="3" t="s">
        <v>10</v>
      </c>
      <c r="H4" s="4">
        <f>COUNTIFS(I9:I141,"추가사항")</f>
        <v>0</v>
      </c>
      <c r="I4" s="5" t="s">
        <v>11</v>
      </c>
      <c r="J4" s="4">
        <f ca="1">COUNTIFS(I8:I141,"추가사항",M8:M141,"&lt;="&amp;TODAY())</f>
        <v>0</v>
      </c>
      <c r="K4" s="5" t="s">
        <v>12</v>
      </c>
      <c r="L4" s="6">
        <f>COUNTIFS(J9:J141,"보류")</f>
        <v>0</v>
      </c>
      <c r="M4" s="4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1.25" customHeight="1">
      <c r="A5" s="1"/>
      <c r="B5" s="39"/>
      <c r="C5" s="39"/>
      <c r="D5" s="36"/>
      <c r="E5" s="37"/>
      <c r="F5" s="37"/>
      <c r="G5" s="3" t="s">
        <v>13</v>
      </c>
      <c r="H5" s="4">
        <f>SUM(H2:H4)</f>
        <v>0</v>
      </c>
      <c r="I5" s="4" t="s">
        <v>13</v>
      </c>
      <c r="J5" s="4">
        <f ca="1">SUM(J2:J4)</f>
        <v>0</v>
      </c>
      <c r="K5" s="4" t="s">
        <v>13</v>
      </c>
      <c r="L5" s="6">
        <f>SUM(L1:L4)</f>
        <v>132</v>
      </c>
      <c r="M5" s="4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1.25" customHeight="1">
      <c r="A6" s="1"/>
      <c r="B6" s="39"/>
      <c r="C6" s="39"/>
      <c r="D6" s="36"/>
      <c r="E6" s="37"/>
      <c r="F6" s="36"/>
      <c r="G6" s="38"/>
      <c r="H6" s="8"/>
      <c r="I6" s="8"/>
      <c r="J6" s="8"/>
      <c r="K6" s="8"/>
      <c r="L6" s="2"/>
      <c r="M6" s="8"/>
      <c r="N6" s="2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1.25" customHeight="1">
      <c r="A7" s="35" t="s">
        <v>14</v>
      </c>
      <c r="B7" s="33"/>
      <c r="C7" s="33"/>
      <c r="D7" s="33"/>
      <c r="E7" s="33"/>
      <c r="F7" s="33"/>
      <c r="G7" s="33"/>
      <c r="H7" s="34"/>
      <c r="I7" s="32" t="s">
        <v>15</v>
      </c>
      <c r="J7" s="33"/>
      <c r="K7" s="33"/>
      <c r="L7" s="33"/>
      <c r="M7" s="33"/>
      <c r="N7" s="3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1.25" customHeight="1">
      <c r="A8" s="9" t="s">
        <v>16</v>
      </c>
      <c r="B8" s="9" t="s">
        <v>17</v>
      </c>
      <c r="C8" s="10" t="s">
        <v>18</v>
      </c>
      <c r="D8" s="11" t="s">
        <v>19</v>
      </c>
      <c r="E8" s="11" t="s">
        <v>20</v>
      </c>
      <c r="F8" s="11" t="s">
        <v>21</v>
      </c>
      <c r="G8" s="12" t="s">
        <v>22</v>
      </c>
      <c r="H8" s="9" t="s">
        <v>23</v>
      </c>
      <c r="I8" s="13" t="s">
        <v>24</v>
      </c>
      <c r="J8" s="13" t="s">
        <v>25</v>
      </c>
      <c r="K8" s="13" t="s">
        <v>26</v>
      </c>
      <c r="L8" s="14" t="s">
        <v>27</v>
      </c>
      <c r="M8" s="14" t="s">
        <v>28</v>
      </c>
      <c r="N8" s="15" t="s">
        <v>29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1.25" customHeight="1">
      <c r="A9" s="16"/>
      <c r="B9" s="7"/>
      <c r="C9" s="16"/>
      <c r="D9" s="16"/>
      <c r="E9" s="16" t="s">
        <v>30</v>
      </c>
      <c r="F9" s="17" t="s">
        <v>31</v>
      </c>
      <c r="G9" s="18">
        <v>45661</v>
      </c>
      <c r="H9" s="16">
        <v>1</v>
      </c>
      <c r="I9" s="19" t="s">
        <v>32</v>
      </c>
      <c r="J9" s="16" t="s">
        <v>33</v>
      </c>
      <c r="K9" s="16" t="s">
        <v>34</v>
      </c>
      <c r="L9" s="16" t="s">
        <v>32</v>
      </c>
      <c r="M9" s="16" t="s">
        <v>35</v>
      </c>
      <c r="N9" s="16" t="s">
        <v>36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1.25" customHeight="1">
      <c r="A10" s="7"/>
      <c r="B10" s="7"/>
      <c r="C10" s="16"/>
      <c r="D10" s="16"/>
      <c r="E10" s="16" t="s">
        <v>30</v>
      </c>
      <c r="F10" s="17" t="s">
        <v>37</v>
      </c>
      <c r="G10" s="18">
        <v>45661</v>
      </c>
      <c r="H10" s="16">
        <v>1</v>
      </c>
      <c r="I10" s="17" t="s">
        <v>32</v>
      </c>
      <c r="J10" s="16" t="s">
        <v>33</v>
      </c>
      <c r="K10" s="16" t="s">
        <v>34</v>
      </c>
      <c r="L10" s="16" t="s">
        <v>38</v>
      </c>
      <c r="M10" s="16" t="s">
        <v>35</v>
      </c>
      <c r="N10" s="16" t="s">
        <v>36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1.25" customHeight="1">
      <c r="A11" s="7"/>
      <c r="B11" s="7"/>
      <c r="C11" s="16"/>
      <c r="D11" s="16"/>
      <c r="E11" s="16" t="s">
        <v>39</v>
      </c>
      <c r="F11" s="17" t="s">
        <v>40</v>
      </c>
      <c r="G11" s="18">
        <v>45661</v>
      </c>
      <c r="H11" s="16">
        <v>1</v>
      </c>
      <c r="I11" s="17" t="s">
        <v>32</v>
      </c>
      <c r="J11" s="16" t="s">
        <v>33</v>
      </c>
      <c r="K11" s="16" t="s">
        <v>34</v>
      </c>
      <c r="L11" s="16" t="s">
        <v>41</v>
      </c>
      <c r="M11" s="16" t="s">
        <v>35</v>
      </c>
      <c r="N11" s="16" t="s">
        <v>36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1.25" customHeight="1">
      <c r="A12" s="7"/>
      <c r="B12" s="7"/>
      <c r="C12" s="16"/>
      <c r="D12" s="16"/>
      <c r="E12" s="16" t="s">
        <v>30</v>
      </c>
      <c r="F12" s="17" t="s">
        <v>42</v>
      </c>
      <c r="G12" s="18">
        <v>45662</v>
      </c>
      <c r="H12" s="16">
        <v>1</v>
      </c>
      <c r="I12" s="17" t="s">
        <v>32</v>
      </c>
      <c r="J12" s="16" t="s">
        <v>33</v>
      </c>
      <c r="K12" s="16" t="s">
        <v>34</v>
      </c>
      <c r="L12" s="16" t="s">
        <v>32</v>
      </c>
      <c r="M12" s="16" t="s">
        <v>35</v>
      </c>
      <c r="N12" s="16" t="s">
        <v>36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1.25" customHeight="1">
      <c r="A13" s="7"/>
      <c r="B13" s="7"/>
      <c r="C13" s="16"/>
      <c r="D13" s="16"/>
      <c r="E13" s="16" t="s">
        <v>43</v>
      </c>
      <c r="F13" s="17" t="s">
        <v>44</v>
      </c>
      <c r="G13" s="20">
        <v>45662</v>
      </c>
      <c r="H13" s="16">
        <v>2</v>
      </c>
      <c r="I13" s="17" t="s">
        <v>45</v>
      </c>
      <c r="J13" s="16" t="s">
        <v>33</v>
      </c>
      <c r="K13" s="16" t="s">
        <v>34</v>
      </c>
      <c r="L13" s="16" t="s">
        <v>41</v>
      </c>
      <c r="M13" s="16" t="s">
        <v>35</v>
      </c>
      <c r="N13" s="16" t="s">
        <v>36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1.25" customHeight="1">
      <c r="A14" s="7"/>
      <c r="B14" s="7"/>
      <c r="C14" s="16"/>
      <c r="D14" s="16"/>
      <c r="E14" s="16" t="s">
        <v>46</v>
      </c>
      <c r="F14" s="17" t="s">
        <v>47</v>
      </c>
      <c r="G14" s="18">
        <v>45662</v>
      </c>
      <c r="H14" s="16">
        <v>1</v>
      </c>
      <c r="I14" s="17" t="s">
        <v>32</v>
      </c>
      <c r="J14" s="16" t="s">
        <v>33</v>
      </c>
      <c r="K14" s="16" t="s">
        <v>34</v>
      </c>
      <c r="L14" s="16" t="s">
        <v>48</v>
      </c>
      <c r="M14" s="16" t="s">
        <v>35</v>
      </c>
      <c r="N14" s="16" t="s">
        <v>36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1.25" customHeight="1">
      <c r="A15" s="7"/>
      <c r="B15" s="7"/>
      <c r="C15" s="16"/>
      <c r="D15" s="16"/>
      <c r="E15" s="16" t="s">
        <v>49</v>
      </c>
      <c r="F15" s="17" t="s">
        <v>50</v>
      </c>
      <c r="G15" s="18">
        <v>45662</v>
      </c>
      <c r="H15" s="16">
        <v>1</v>
      </c>
      <c r="I15" s="17" t="s">
        <v>32</v>
      </c>
      <c r="J15" s="16" t="s">
        <v>33</v>
      </c>
      <c r="K15" s="16" t="s">
        <v>34</v>
      </c>
      <c r="L15" s="16" t="s">
        <v>41</v>
      </c>
      <c r="M15" s="16" t="s">
        <v>35</v>
      </c>
      <c r="N15" s="16" t="s">
        <v>36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1.25" customHeight="1">
      <c r="A16" s="7"/>
      <c r="B16" s="7"/>
      <c r="C16" s="16"/>
      <c r="D16" s="16"/>
      <c r="E16" s="16" t="s">
        <v>51</v>
      </c>
      <c r="F16" s="17" t="s">
        <v>52</v>
      </c>
      <c r="G16" s="18">
        <v>45662</v>
      </c>
      <c r="H16" s="16">
        <v>1</v>
      </c>
      <c r="I16" s="17" t="s">
        <v>32</v>
      </c>
      <c r="J16" s="16" t="s">
        <v>33</v>
      </c>
      <c r="K16" s="16" t="s">
        <v>34</v>
      </c>
      <c r="L16" s="16" t="s">
        <v>48</v>
      </c>
      <c r="M16" s="16" t="s">
        <v>35</v>
      </c>
      <c r="N16" s="16" t="s">
        <v>36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1.25" customHeight="1">
      <c r="A17" s="7"/>
      <c r="B17" s="7"/>
      <c r="C17" s="16"/>
      <c r="D17" s="16"/>
      <c r="E17" s="16" t="s">
        <v>53</v>
      </c>
      <c r="F17" s="17" t="s">
        <v>50</v>
      </c>
      <c r="G17" s="18">
        <v>45662</v>
      </c>
      <c r="H17" s="16">
        <v>1</v>
      </c>
      <c r="I17" s="17" t="s">
        <v>32</v>
      </c>
      <c r="J17" s="16" t="s">
        <v>33</v>
      </c>
      <c r="K17" s="16" t="s">
        <v>34</v>
      </c>
      <c r="L17" s="16" t="s">
        <v>41</v>
      </c>
      <c r="M17" s="16" t="s">
        <v>35</v>
      </c>
      <c r="N17" s="16" t="s">
        <v>36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1.25" customHeight="1">
      <c r="A18" s="7"/>
      <c r="B18" s="7"/>
      <c r="C18" s="16"/>
      <c r="D18" s="16"/>
      <c r="E18" s="16" t="s">
        <v>54</v>
      </c>
      <c r="F18" s="17" t="s">
        <v>52</v>
      </c>
      <c r="G18" s="18">
        <v>45662</v>
      </c>
      <c r="H18" s="16">
        <v>1</v>
      </c>
      <c r="I18" s="17" t="s">
        <v>32</v>
      </c>
      <c r="J18" s="16" t="s">
        <v>33</v>
      </c>
      <c r="K18" s="16" t="s">
        <v>34</v>
      </c>
      <c r="L18" s="16" t="s">
        <v>48</v>
      </c>
      <c r="M18" s="16" t="s">
        <v>35</v>
      </c>
      <c r="N18" s="16" t="s">
        <v>36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1.25" customHeight="1">
      <c r="A19" s="7"/>
      <c r="B19" s="7"/>
      <c r="C19" s="16"/>
      <c r="D19" s="16"/>
      <c r="E19" s="16" t="s">
        <v>55</v>
      </c>
      <c r="F19" s="17" t="s">
        <v>50</v>
      </c>
      <c r="G19" s="18">
        <v>45662</v>
      </c>
      <c r="H19" s="16">
        <v>1</v>
      </c>
      <c r="I19" s="17" t="s">
        <v>32</v>
      </c>
      <c r="J19" s="16" t="s">
        <v>33</v>
      </c>
      <c r="K19" s="16" t="s">
        <v>34</v>
      </c>
      <c r="L19" s="16" t="s">
        <v>41</v>
      </c>
      <c r="M19" s="16" t="s">
        <v>35</v>
      </c>
      <c r="N19" s="16" t="s">
        <v>36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1.25" customHeight="1">
      <c r="A20" s="7"/>
      <c r="B20" s="7"/>
      <c r="C20" s="16"/>
      <c r="D20" s="16"/>
      <c r="E20" s="16" t="s">
        <v>56</v>
      </c>
      <c r="F20" s="17" t="s">
        <v>52</v>
      </c>
      <c r="G20" s="18">
        <v>45662</v>
      </c>
      <c r="H20" s="16">
        <v>1</v>
      </c>
      <c r="I20" s="17" t="s">
        <v>32</v>
      </c>
      <c r="J20" s="16" t="s">
        <v>33</v>
      </c>
      <c r="K20" s="16" t="s">
        <v>34</v>
      </c>
      <c r="L20" s="16" t="s">
        <v>48</v>
      </c>
      <c r="M20" s="16" t="s">
        <v>35</v>
      </c>
      <c r="N20" s="16" t="s">
        <v>36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1.25" customHeight="1">
      <c r="A21" s="7"/>
      <c r="B21" s="7"/>
      <c r="C21" s="16"/>
      <c r="D21" s="16"/>
      <c r="E21" s="16" t="s">
        <v>57</v>
      </c>
      <c r="F21" s="17" t="s">
        <v>50</v>
      </c>
      <c r="G21" s="18">
        <v>45662</v>
      </c>
      <c r="H21" s="16">
        <v>1</v>
      </c>
      <c r="I21" s="17" t="s">
        <v>32</v>
      </c>
      <c r="J21" s="16" t="s">
        <v>33</v>
      </c>
      <c r="K21" s="16" t="s">
        <v>34</v>
      </c>
      <c r="L21" s="16" t="s">
        <v>41</v>
      </c>
      <c r="M21" s="16" t="s">
        <v>35</v>
      </c>
      <c r="N21" s="16" t="s">
        <v>36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1.25" customHeight="1">
      <c r="A22" s="7"/>
      <c r="B22" s="7"/>
      <c r="C22" s="16"/>
      <c r="D22" s="16"/>
      <c r="E22" s="16" t="s">
        <v>58</v>
      </c>
      <c r="F22" s="17" t="s">
        <v>59</v>
      </c>
      <c r="G22" s="18">
        <v>45662</v>
      </c>
      <c r="H22" s="16">
        <v>1</v>
      </c>
      <c r="I22" s="17" t="s">
        <v>32</v>
      </c>
      <c r="J22" s="16" t="s">
        <v>33</v>
      </c>
      <c r="K22" s="16" t="s">
        <v>34</v>
      </c>
      <c r="L22" s="16" t="s">
        <v>48</v>
      </c>
      <c r="M22" s="16" t="s">
        <v>35</v>
      </c>
      <c r="N22" s="16" t="s">
        <v>36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1.25" customHeight="1">
      <c r="A23" s="7"/>
      <c r="B23" s="7"/>
      <c r="C23" s="16"/>
      <c r="D23" s="16"/>
      <c r="E23" s="16" t="s">
        <v>60</v>
      </c>
      <c r="F23" s="17" t="s">
        <v>59</v>
      </c>
      <c r="G23" s="18">
        <v>45662</v>
      </c>
      <c r="H23" s="16">
        <v>1</v>
      </c>
      <c r="I23" s="17" t="s">
        <v>32</v>
      </c>
      <c r="J23" s="16" t="s">
        <v>33</v>
      </c>
      <c r="K23" s="16" t="s">
        <v>34</v>
      </c>
      <c r="L23" s="16" t="s">
        <v>48</v>
      </c>
      <c r="M23" s="16" t="s">
        <v>35</v>
      </c>
      <c r="N23" s="16" t="s">
        <v>36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1.25" customHeight="1">
      <c r="A24" s="7"/>
      <c r="B24" s="7"/>
      <c r="C24" s="16"/>
      <c r="D24" s="16"/>
      <c r="E24" s="16" t="s">
        <v>61</v>
      </c>
      <c r="F24" s="17" t="s">
        <v>62</v>
      </c>
      <c r="G24" s="18">
        <v>45663</v>
      </c>
      <c r="H24" s="16">
        <v>1</v>
      </c>
      <c r="I24" s="17" t="s">
        <v>32</v>
      </c>
      <c r="J24" s="16" t="s">
        <v>33</v>
      </c>
      <c r="K24" s="16" t="s">
        <v>34</v>
      </c>
      <c r="L24" s="16" t="s">
        <v>48</v>
      </c>
      <c r="M24" s="16" t="s">
        <v>35</v>
      </c>
      <c r="N24" s="16" t="s">
        <v>36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1.25" customHeight="1">
      <c r="A25" s="7"/>
      <c r="B25" s="7"/>
      <c r="C25" s="16"/>
      <c r="D25" s="16"/>
      <c r="E25" s="16" t="s">
        <v>61</v>
      </c>
      <c r="F25" s="17" t="s">
        <v>63</v>
      </c>
      <c r="G25" s="18">
        <v>45663</v>
      </c>
      <c r="H25" s="16">
        <v>1</v>
      </c>
      <c r="I25" s="17" t="s">
        <v>32</v>
      </c>
      <c r="J25" s="16" t="s">
        <v>33</v>
      </c>
      <c r="K25" s="16" t="s">
        <v>34</v>
      </c>
      <c r="L25" s="16" t="s">
        <v>48</v>
      </c>
      <c r="M25" s="16" t="s">
        <v>35</v>
      </c>
      <c r="N25" s="16" t="s">
        <v>36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1.25" customHeight="1">
      <c r="A26" s="7"/>
      <c r="B26" s="7"/>
      <c r="C26" s="16"/>
      <c r="D26" s="16"/>
      <c r="E26" s="16" t="s">
        <v>64</v>
      </c>
      <c r="F26" s="17" t="s">
        <v>65</v>
      </c>
      <c r="G26" s="18">
        <v>45663</v>
      </c>
      <c r="H26" s="16">
        <v>3</v>
      </c>
      <c r="I26" s="17" t="s">
        <v>32</v>
      </c>
      <c r="J26" s="16" t="s">
        <v>33</v>
      </c>
      <c r="K26" s="16" t="s">
        <v>34</v>
      </c>
      <c r="L26" s="16" t="s">
        <v>38</v>
      </c>
      <c r="M26" s="16" t="s">
        <v>35</v>
      </c>
      <c r="N26" s="16" t="s">
        <v>36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1.25" customHeight="1">
      <c r="A27" s="7"/>
      <c r="B27" s="7"/>
      <c r="C27" s="16"/>
      <c r="D27" s="16"/>
      <c r="E27" s="16" t="s">
        <v>58</v>
      </c>
      <c r="F27" s="17" t="s">
        <v>66</v>
      </c>
      <c r="G27" s="18">
        <v>45663</v>
      </c>
      <c r="H27" s="16">
        <v>3</v>
      </c>
      <c r="I27" s="17" t="s">
        <v>32</v>
      </c>
      <c r="J27" s="16" t="s">
        <v>33</v>
      </c>
      <c r="K27" s="16" t="s">
        <v>34</v>
      </c>
      <c r="L27" s="16" t="s">
        <v>48</v>
      </c>
      <c r="M27" s="16" t="s">
        <v>35</v>
      </c>
      <c r="N27" s="16" t="s">
        <v>36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1.25" customHeight="1">
      <c r="A28" s="7"/>
      <c r="B28" s="7"/>
      <c r="C28" s="16"/>
      <c r="D28" s="16"/>
      <c r="E28" s="16" t="s">
        <v>67</v>
      </c>
      <c r="F28" s="17" t="s">
        <v>68</v>
      </c>
      <c r="G28" s="18">
        <v>45663</v>
      </c>
      <c r="H28" s="16">
        <v>2</v>
      </c>
      <c r="I28" s="17" t="s">
        <v>32</v>
      </c>
      <c r="J28" s="16" t="s">
        <v>33</v>
      </c>
      <c r="K28" s="16" t="s">
        <v>34</v>
      </c>
      <c r="L28" s="16" t="s">
        <v>41</v>
      </c>
      <c r="M28" s="16" t="s">
        <v>35</v>
      </c>
      <c r="N28" s="16" t="s">
        <v>36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1.25" customHeight="1">
      <c r="A29" s="7"/>
      <c r="B29" s="7"/>
      <c r="C29" s="16"/>
      <c r="D29" s="16"/>
      <c r="E29" s="16" t="s">
        <v>30</v>
      </c>
      <c r="F29" s="17" t="s">
        <v>69</v>
      </c>
      <c r="G29" s="18">
        <v>45663</v>
      </c>
      <c r="H29" s="16">
        <v>1</v>
      </c>
      <c r="I29" s="17" t="s">
        <v>45</v>
      </c>
      <c r="J29" s="16" t="s">
        <v>33</v>
      </c>
      <c r="K29" s="16" t="s">
        <v>34</v>
      </c>
      <c r="L29" s="16" t="s">
        <v>32</v>
      </c>
      <c r="M29" s="16" t="s">
        <v>35</v>
      </c>
      <c r="N29" s="16" t="s">
        <v>36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1.25" customHeight="1">
      <c r="A30" s="7"/>
      <c r="B30" s="7"/>
      <c r="C30" s="16"/>
      <c r="D30" s="7"/>
      <c r="E30" s="16" t="s">
        <v>70</v>
      </c>
      <c r="F30" s="16" t="s">
        <v>71</v>
      </c>
      <c r="G30" s="18">
        <v>45660</v>
      </c>
      <c r="H30" s="16">
        <v>3</v>
      </c>
      <c r="I30" s="16" t="s">
        <v>32</v>
      </c>
      <c r="J30" s="16" t="s">
        <v>33</v>
      </c>
      <c r="K30" s="7"/>
      <c r="L30" s="16" t="s">
        <v>72</v>
      </c>
      <c r="M30" s="16" t="s">
        <v>35</v>
      </c>
      <c r="N30" s="16" t="s">
        <v>73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1.25" customHeight="1">
      <c r="A31" s="7"/>
      <c r="B31" s="7"/>
      <c r="C31" s="16"/>
      <c r="D31" s="7"/>
      <c r="E31" s="16" t="s">
        <v>74</v>
      </c>
      <c r="F31" s="16" t="s">
        <v>75</v>
      </c>
      <c r="G31" s="18">
        <v>45660</v>
      </c>
      <c r="H31" s="16">
        <v>2</v>
      </c>
      <c r="I31" s="16" t="s">
        <v>32</v>
      </c>
      <c r="J31" s="16" t="s">
        <v>33</v>
      </c>
      <c r="K31" s="7"/>
      <c r="L31" s="16" t="s">
        <v>76</v>
      </c>
      <c r="M31" s="16" t="s">
        <v>35</v>
      </c>
      <c r="N31" s="16" t="s">
        <v>73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1.25" customHeight="1">
      <c r="A32" s="7"/>
      <c r="B32" s="7"/>
      <c r="C32" s="16"/>
      <c r="D32" s="7"/>
      <c r="E32" s="16" t="s">
        <v>74</v>
      </c>
      <c r="F32" s="16" t="s">
        <v>77</v>
      </c>
      <c r="G32" s="18">
        <v>45660</v>
      </c>
      <c r="H32" s="16">
        <v>1</v>
      </c>
      <c r="I32" s="16" t="s">
        <v>32</v>
      </c>
      <c r="J32" s="16" t="s">
        <v>33</v>
      </c>
      <c r="K32" s="7"/>
      <c r="L32" s="16" t="s">
        <v>76</v>
      </c>
      <c r="M32" s="16" t="s">
        <v>35</v>
      </c>
      <c r="N32" s="16" t="s">
        <v>73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1.25" customHeight="1">
      <c r="A33" s="7"/>
      <c r="B33" s="7"/>
      <c r="C33" s="16"/>
      <c r="D33" s="7"/>
      <c r="E33" s="16" t="s">
        <v>74</v>
      </c>
      <c r="F33" s="16" t="s">
        <v>78</v>
      </c>
      <c r="G33" s="18">
        <v>45660</v>
      </c>
      <c r="H33" s="16">
        <v>1</v>
      </c>
      <c r="I33" s="16" t="s">
        <v>45</v>
      </c>
      <c r="J33" s="16" t="s">
        <v>33</v>
      </c>
      <c r="K33" s="7"/>
      <c r="L33" s="16" t="s">
        <v>79</v>
      </c>
      <c r="M33" s="16" t="s">
        <v>35</v>
      </c>
      <c r="N33" s="16" t="s">
        <v>73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1.25" customHeight="1">
      <c r="A34" s="7"/>
      <c r="B34" s="7"/>
      <c r="C34" s="16"/>
      <c r="D34" s="7"/>
      <c r="E34" s="16" t="s">
        <v>80</v>
      </c>
      <c r="F34" s="22" t="s">
        <v>81</v>
      </c>
      <c r="G34" s="18">
        <v>45660</v>
      </c>
      <c r="H34" s="16">
        <v>1</v>
      </c>
      <c r="I34" s="16" t="s">
        <v>82</v>
      </c>
      <c r="J34" s="16" t="s">
        <v>33</v>
      </c>
      <c r="K34" s="7"/>
      <c r="L34" s="16" t="s">
        <v>83</v>
      </c>
      <c r="M34" s="16" t="s">
        <v>35</v>
      </c>
      <c r="N34" s="16" t="s">
        <v>73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1.25" customHeight="1">
      <c r="A35" s="7"/>
      <c r="B35" s="7"/>
      <c r="C35" s="16"/>
      <c r="D35" s="7"/>
      <c r="E35" s="16" t="s">
        <v>74</v>
      </c>
      <c r="F35" s="22" t="s">
        <v>84</v>
      </c>
      <c r="G35" s="18">
        <v>45660</v>
      </c>
      <c r="H35" s="16">
        <v>1</v>
      </c>
      <c r="I35" s="16" t="s">
        <v>45</v>
      </c>
      <c r="J35" s="16" t="s">
        <v>33</v>
      </c>
      <c r="K35" s="7"/>
      <c r="L35" s="16" t="s">
        <v>79</v>
      </c>
      <c r="M35" s="16" t="s">
        <v>35</v>
      </c>
      <c r="N35" s="16" t="s">
        <v>73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1.25" customHeight="1">
      <c r="A36" s="7"/>
      <c r="B36" s="7"/>
      <c r="C36" s="16"/>
      <c r="D36" s="7"/>
      <c r="E36" s="16" t="s">
        <v>85</v>
      </c>
      <c r="F36" s="22" t="s">
        <v>86</v>
      </c>
      <c r="G36" s="18">
        <v>45660</v>
      </c>
      <c r="H36" s="16">
        <v>1</v>
      </c>
      <c r="I36" s="16" t="s">
        <v>45</v>
      </c>
      <c r="J36" s="16" t="s">
        <v>33</v>
      </c>
      <c r="K36" s="7"/>
      <c r="L36" s="16" t="s">
        <v>87</v>
      </c>
      <c r="M36" s="16" t="s">
        <v>35</v>
      </c>
      <c r="N36" s="16" t="s">
        <v>73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1.25" customHeight="1">
      <c r="A37" s="7"/>
      <c r="B37" s="7"/>
      <c r="C37" s="16"/>
      <c r="D37" s="7"/>
      <c r="E37" s="16" t="s">
        <v>85</v>
      </c>
      <c r="F37" s="22" t="s">
        <v>88</v>
      </c>
      <c r="G37" s="18">
        <v>45660</v>
      </c>
      <c r="H37" s="16">
        <v>1</v>
      </c>
      <c r="I37" s="16" t="s">
        <v>82</v>
      </c>
      <c r="J37" s="16" t="s">
        <v>33</v>
      </c>
      <c r="K37" s="7"/>
      <c r="L37" s="16" t="s">
        <v>89</v>
      </c>
      <c r="M37" s="16" t="s">
        <v>35</v>
      </c>
      <c r="N37" s="16" t="s">
        <v>73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1.25" customHeight="1">
      <c r="A38" s="7"/>
      <c r="B38" s="7"/>
      <c r="C38" s="16"/>
      <c r="D38" s="7"/>
      <c r="E38" s="16" t="s">
        <v>85</v>
      </c>
      <c r="F38" s="22" t="s">
        <v>90</v>
      </c>
      <c r="G38" s="18">
        <v>45660</v>
      </c>
      <c r="H38" s="16">
        <v>1</v>
      </c>
      <c r="I38" s="16" t="s">
        <v>82</v>
      </c>
      <c r="J38" s="16" t="s">
        <v>33</v>
      </c>
      <c r="K38" s="7"/>
      <c r="L38" s="16" t="s">
        <v>91</v>
      </c>
      <c r="M38" s="16" t="s">
        <v>35</v>
      </c>
      <c r="N38" s="16" t="s">
        <v>73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1.25" customHeight="1">
      <c r="A39" s="7"/>
      <c r="B39" s="7"/>
      <c r="C39" s="16"/>
      <c r="D39" s="7"/>
      <c r="E39" s="16" t="s">
        <v>74</v>
      </c>
      <c r="F39" s="16" t="s">
        <v>92</v>
      </c>
      <c r="G39" s="18">
        <v>45663</v>
      </c>
      <c r="H39" s="16">
        <v>1</v>
      </c>
      <c r="I39" s="16" t="s">
        <v>32</v>
      </c>
      <c r="J39" s="16" t="s">
        <v>33</v>
      </c>
      <c r="K39" s="7"/>
      <c r="L39" s="16" t="s">
        <v>76</v>
      </c>
      <c r="M39" s="16" t="s">
        <v>35</v>
      </c>
      <c r="N39" s="16" t="s">
        <v>73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1.25" customHeight="1">
      <c r="A40" s="7"/>
      <c r="B40" s="7"/>
      <c r="C40" s="16"/>
      <c r="D40" s="7"/>
      <c r="E40" s="16" t="s">
        <v>93</v>
      </c>
      <c r="F40" s="16" t="s">
        <v>94</v>
      </c>
      <c r="G40" s="18">
        <v>45663</v>
      </c>
      <c r="H40" s="16">
        <v>1</v>
      </c>
      <c r="I40" s="16" t="s">
        <v>45</v>
      </c>
      <c r="J40" s="16" t="s">
        <v>33</v>
      </c>
      <c r="K40" s="7"/>
      <c r="L40" s="16" t="s">
        <v>95</v>
      </c>
      <c r="M40" s="16" t="s">
        <v>35</v>
      </c>
      <c r="N40" s="16" t="s">
        <v>73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1.25" customHeight="1">
      <c r="A41" s="7"/>
      <c r="B41" s="7"/>
      <c r="C41" s="16"/>
      <c r="D41" s="7"/>
      <c r="E41" s="16" t="s">
        <v>80</v>
      </c>
      <c r="F41" s="16" t="s">
        <v>96</v>
      </c>
      <c r="G41" s="18">
        <v>45663</v>
      </c>
      <c r="H41" s="16">
        <v>2</v>
      </c>
      <c r="I41" s="16" t="s">
        <v>32</v>
      </c>
      <c r="J41" s="16" t="s">
        <v>33</v>
      </c>
      <c r="K41" s="7"/>
      <c r="L41" s="16" t="s">
        <v>76</v>
      </c>
      <c r="M41" s="16" t="s">
        <v>35</v>
      </c>
      <c r="N41" s="16" t="s">
        <v>73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1.25" customHeight="1">
      <c r="A42" s="7"/>
      <c r="B42" s="7"/>
      <c r="C42" s="16"/>
      <c r="D42" s="7"/>
      <c r="E42" s="16" t="s">
        <v>85</v>
      </c>
      <c r="F42" s="16" t="s">
        <v>97</v>
      </c>
      <c r="G42" s="18">
        <v>45663</v>
      </c>
      <c r="H42" s="16">
        <v>3</v>
      </c>
      <c r="I42" s="16" t="s">
        <v>32</v>
      </c>
      <c r="J42" s="16" t="s">
        <v>33</v>
      </c>
      <c r="K42" s="7"/>
      <c r="L42" s="16" t="s">
        <v>76</v>
      </c>
      <c r="M42" s="16" t="s">
        <v>35</v>
      </c>
      <c r="N42" s="16" t="s">
        <v>73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1.25" customHeight="1">
      <c r="A43" s="7"/>
      <c r="B43" s="7"/>
      <c r="C43" s="16"/>
      <c r="D43" s="7"/>
      <c r="E43" s="16" t="s">
        <v>85</v>
      </c>
      <c r="F43" s="16" t="s">
        <v>98</v>
      </c>
      <c r="G43" s="18">
        <v>45663</v>
      </c>
      <c r="H43" s="16">
        <v>2</v>
      </c>
      <c r="I43" s="16" t="s">
        <v>45</v>
      </c>
      <c r="J43" s="16" t="s">
        <v>33</v>
      </c>
      <c r="K43" s="7"/>
      <c r="L43" s="16" t="s">
        <v>99</v>
      </c>
      <c r="M43" s="16" t="s">
        <v>35</v>
      </c>
      <c r="N43" s="16" t="s">
        <v>73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1.25" customHeight="1">
      <c r="A44" s="7"/>
      <c r="B44" s="7"/>
      <c r="C44" s="16"/>
      <c r="D44" s="7"/>
      <c r="E44" s="16" t="s">
        <v>85</v>
      </c>
      <c r="F44" s="16" t="s">
        <v>100</v>
      </c>
      <c r="G44" s="18">
        <v>45663</v>
      </c>
      <c r="H44" s="16">
        <v>1</v>
      </c>
      <c r="I44" s="16" t="s">
        <v>45</v>
      </c>
      <c r="J44" s="16" t="s">
        <v>33</v>
      </c>
      <c r="K44" s="7"/>
      <c r="L44" s="16" t="s">
        <v>101</v>
      </c>
      <c r="M44" s="16" t="s">
        <v>35</v>
      </c>
      <c r="N44" s="16" t="s">
        <v>73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1.25" customHeight="1">
      <c r="A45" s="7"/>
      <c r="B45" s="7"/>
      <c r="C45" s="16"/>
      <c r="D45" s="7"/>
      <c r="E45" s="16" t="s">
        <v>93</v>
      </c>
      <c r="F45" s="16" t="s">
        <v>102</v>
      </c>
      <c r="G45" s="18">
        <v>45663</v>
      </c>
      <c r="H45" s="16">
        <v>1</v>
      </c>
      <c r="I45" s="16" t="s">
        <v>45</v>
      </c>
      <c r="J45" s="16" t="s">
        <v>33</v>
      </c>
      <c r="K45" s="7"/>
      <c r="L45" s="16" t="s">
        <v>103</v>
      </c>
      <c r="M45" s="16" t="s">
        <v>35</v>
      </c>
      <c r="N45" s="16" t="s">
        <v>73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1.25" customHeight="1">
      <c r="A46" s="7"/>
      <c r="B46" s="7"/>
      <c r="C46" s="16"/>
      <c r="D46" s="7"/>
      <c r="E46" s="16" t="s">
        <v>104</v>
      </c>
      <c r="F46" s="16" t="s">
        <v>105</v>
      </c>
      <c r="G46" s="18">
        <v>45663</v>
      </c>
      <c r="H46" s="16">
        <v>1</v>
      </c>
      <c r="I46" s="16" t="s">
        <v>82</v>
      </c>
      <c r="J46" s="16" t="s">
        <v>33</v>
      </c>
      <c r="K46" s="7"/>
      <c r="L46" s="16" t="s">
        <v>106</v>
      </c>
      <c r="M46" s="16" t="s">
        <v>35</v>
      </c>
      <c r="N46" s="16" t="s">
        <v>73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1.25" customHeight="1">
      <c r="A47" s="7"/>
      <c r="B47" s="7"/>
      <c r="C47" s="16"/>
      <c r="D47" s="7"/>
      <c r="E47" s="16" t="s">
        <v>104</v>
      </c>
      <c r="F47" s="16" t="s">
        <v>107</v>
      </c>
      <c r="G47" s="18">
        <v>45663</v>
      </c>
      <c r="H47" s="16">
        <v>1</v>
      </c>
      <c r="I47" s="16" t="s">
        <v>82</v>
      </c>
      <c r="J47" s="16" t="s">
        <v>33</v>
      </c>
      <c r="K47" s="7"/>
      <c r="L47" s="16" t="s">
        <v>108</v>
      </c>
      <c r="M47" s="16" t="s">
        <v>35</v>
      </c>
      <c r="N47" s="16" t="s">
        <v>73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1.25" customHeight="1">
      <c r="A48" s="7"/>
      <c r="B48" s="7"/>
      <c r="C48" s="16"/>
      <c r="D48" s="7"/>
      <c r="E48" s="16" t="s">
        <v>93</v>
      </c>
      <c r="F48" s="16" t="s">
        <v>109</v>
      </c>
      <c r="G48" s="18">
        <v>45663</v>
      </c>
      <c r="H48" s="16">
        <v>2</v>
      </c>
      <c r="I48" s="16" t="s">
        <v>45</v>
      </c>
      <c r="J48" s="16" t="s">
        <v>33</v>
      </c>
      <c r="K48" s="7"/>
      <c r="L48" s="16" t="s">
        <v>110</v>
      </c>
      <c r="M48" s="16" t="s">
        <v>35</v>
      </c>
      <c r="N48" s="16" t="s">
        <v>73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1.25" customHeight="1">
      <c r="A49" s="7"/>
      <c r="B49" s="7"/>
      <c r="C49" s="16"/>
      <c r="D49" s="7"/>
      <c r="E49" s="16" t="s">
        <v>93</v>
      </c>
      <c r="F49" s="16" t="s">
        <v>111</v>
      </c>
      <c r="G49" s="18">
        <v>45663</v>
      </c>
      <c r="H49" s="16">
        <v>1</v>
      </c>
      <c r="I49" s="16" t="s">
        <v>45</v>
      </c>
      <c r="J49" s="16" t="s">
        <v>33</v>
      </c>
      <c r="K49" s="7"/>
      <c r="L49" s="16" t="s">
        <v>112</v>
      </c>
      <c r="M49" s="16" t="s">
        <v>35</v>
      </c>
      <c r="N49" s="16" t="s">
        <v>73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1.25" customHeight="1">
      <c r="A50" s="16"/>
      <c r="B50" s="7"/>
      <c r="C50" s="16"/>
      <c r="D50" s="7"/>
      <c r="E50" s="16" t="s">
        <v>113</v>
      </c>
      <c r="F50" s="16" t="s">
        <v>114</v>
      </c>
      <c r="G50" s="18">
        <v>45663</v>
      </c>
      <c r="H50" s="16">
        <v>3</v>
      </c>
      <c r="I50" s="7"/>
      <c r="J50" s="16" t="s">
        <v>33</v>
      </c>
      <c r="K50" s="23" t="s">
        <v>34</v>
      </c>
      <c r="L50" s="7"/>
      <c r="M50" s="16" t="s">
        <v>33</v>
      </c>
      <c r="N50" s="16" t="s">
        <v>115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1.25" customHeight="1">
      <c r="A51" s="7"/>
      <c r="B51" s="7"/>
      <c r="C51" s="7"/>
      <c r="D51" s="7"/>
      <c r="E51" s="16" t="s">
        <v>116</v>
      </c>
      <c r="F51" s="16" t="s">
        <v>117</v>
      </c>
      <c r="G51" s="24">
        <v>45660</v>
      </c>
      <c r="H51" s="16">
        <v>1</v>
      </c>
      <c r="I51" s="16" t="s">
        <v>32</v>
      </c>
      <c r="J51" s="16" t="s">
        <v>33</v>
      </c>
      <c r="K51" s="23" t="s">
        <v>34</v>
      </c>
      <c r="L51" s="16" t="s">
        <v>118</v>
      </c>
      <c r="M51" s="16" t="s">
        <v>33</v>
      </c>
      <c r="N51" s="16" t="s">
        <v>115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1.25" customHeight="1">
      <c r="A52" s="7"/>
      <c r="B52" s="7"/>
      <c r="C52" s="7"/>
      <c r="D52" s="7"/>
      <c r="E52" s="16" t="s">
        <v>116</v>
      </c>
      <c r="F52" s="25" t="s">
        <v>119</v>
      </c>
      <c r="G52" s="24">
        <v>45660</v>
      </c>
      <c r="H52" s="25">
        <v>1</v>
      </c>
      <c r="I52" s="25" t="s">
        <v>32</v>
      </c>
      <c r="J52" s="16" t="s">
        <v>33</v>
      </c>
      <c r="K52" s="23" t="s">
        <v>34</v>
      </c>
      <c r="L52" s="16" t="s">
        <v>32</v>
      </c>
      <c r="M52" s="26" t="s">
        <v>33</v>
      </c>
      <c r="N52" s="16" t="s">
        <v>115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ht="11.25" customHeight="1">
      <c r="A53" s="7"/>
      <c r="B53" s="7"/>
      <c r="C53" s="7"/>
      <c r="D53" s="7"/>
      <c r="E53" s="16" t="s">
        <v>120</v>
      </c>
      <c r="F53" s="16" t="s">
        <v>121</v>
      </c>
      <c r="G53" s="24">
        <v>45660</v>
      </c>
      <c r="H53" s="16">
        <v>1</v>
      </c>
      <c r="I53" s="16" t="s">
        <v>32</v>
      </c>
      <c r="J53" s="16" t="s">
        <v>33</v>
      </c>
      <c r="K53" s="23" t="s">
        <v>34</v>
      </c>
      <c r="L53" s="16" t="s">
        <v>32</v>
      </c>
      <c r="M53" s="16" t="s">
        <v>33</v>
      </c>
      <c r="N53" s="16" t="s">
        <v>115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1.25" customHeight="1">
      <c r="A54" s="7"/>
      <c r="B54" s="7"/>
      <c r="C54" s="7"/>
      <c r="D54" s="7"/>
      <c r="E54" s="16" t="s">
        <v>122</v>
      </c>
      <c r="F54" s="16" t="s">
        <v>123</v>
      </c>
      <c r="G54" s="24">
        <v>45660</v>
      </c>
      <c r="H54" s="16">
        <v>2</v>
      </c>
      <c r="I54" s="16" t="s">
        <v>32</v>
      </c>
      <c r="J54" s="16" t="s">
        <v>33</v>
      </c>
      <c r="K54" s="23" t="s">
        <v>34</v>
      </c>
      <c r="L54" s="16" t="s">
        <v>32</v>
      </c>
      <c r="M54" s="16" t="s">
        <v>33</v>
      </c>
      <c r="N54" s="16" t="s">
        <v>115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1.25" customHeight="1">
      <c r="A55" s="7"/>
      <c r="B55" s="7"/>
      <c r="C55" s="7"/>
      <c r="D55" s="7"/>
      <c r="E55" s="16" t="s">
        <v>124</v>
      </c>
      <c r="F55" s="16" t="s">
        <v>125</v>
      </c>
      <c r="G55" s="24">
        <v>45660</v>
      </c>
      <c r="H55" s="16">
        <v>2</v>
      </c>
      <c r="I55" s="16" t="s">
        <v>32</v>
      </c>
      <c r="J55" s="16" t="s">
        <v>33</v>
      </c>
      <c r="K55" s="23" t="s">
        <v>34</v>
      </c>
      <c r="L55" s="16" t="s">
        <v>32</v>
      </c>
      <c r="M55" s="16" t="s">
        <v>33</v>
      </c>
      <c r="N55" s="16" t="s">
        <v>115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1.25" customHeight="1">
      <c r="A56" s="7"/>
      <c r="B56" s="7"/>
      <c r="C56" s="7"/>
      <c r="D56" s="7"/>
      <c r="E56" s="16" t="s">
        <v>126</v>
      </c>
      <c r="F56" s="16" t="s">
        <v>127</v>
      </c>
      <c r="G56" s="24">
        <v>45660</v>
      </c>
      <c r="H56" s="16">
        <v>2</v>
      </c>
      <c r="I56" s="16" t="s">
        <v>32</v>
      </c>
      <c r="J56" s="16" t="s">
        <v>33</v>
      </c>
      <c r="K56" s="23" t="s">
        <v>34</v>
      </c>
      <c r="L56" s="16" t="s">
        <v>32</v>
      </c>
      <c r="M56" s="16" t="s">
        <v>33</v>
      </c>
      <c r="N56" s="16" t="s">
        <v>115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1.25" customHeight="1">
      <c r="A57" s="7"/>
      <c r="B57" s="7"/>
      <c r="C57" s="7"/>
      <c r="D57" s="7"/>
      <c r="E57" s="16" t="s">
        <v>128</v>
      </c>
      <c r="F57" s="16" t="s">
        <v>129</v>
      </c>
      <c r="G57" s="24">
        <v>45660</v>
      </c>
      <c r="H57" s="16">
        <v>2</v>
      </c>
      <c r="I57" s="16" t="s">
        <v>32</v>
      </c>
      <c r="J57" s="16" t="s">
        <v>33</v>
      </c>
      <c r="K57" s="23" t="s">
        <v>34</v>
      </c>
      <c r="L57" s="16" t="s">
        <v>32</v>
      </c>
      <c r="M57" s="16" t="s">
        <v>33</v>
      </c>
      <c r="N57" s="16" t="s">
        <v>115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1.25" customHeight="1">
      <c r="A58" s="7"/>
      <c r="B58" s="7"/>
      <c r="C58" s="7"/>
      <c r="D58" s="7"/>
      <c r="E58" s="16" t="s">
        <v>130</v>
      </c>
      <c r="F58" s="16" t="s">
        <v>131</v>
      </c>
      <c r="G58" s="24">
        <v>45660</v>
      </c>
      <c r="H58" s="16">
        <v>1</v>
      </c>
      <c r="I58" s="16" t="s">
        <v>32</v>
      </c>
      <c r="J58" s="16" t="s">
        <v>33</v>
      </c>
      <c r="K58" s="23" t="s">
        <v>34</v>
      </c>
      <c r="L58" s="16" t="s">
        <v>32</v>
      </c>
      <c r="M58" s="16" t="s">
        <v>33</v>
      </c>
      <c r="N58" s="16" t="s">
        <v>115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1.25" customHeight="1">
      <c r="A59" s="7"/>
      <c r="B59" s="7"/>
      <c r="C59" s="7"/>
      <c r="D59" s="7"/>
      <c r="E59" s="16" t="s">
        <v>132</v>
      </c>
      <c r="F59" s="16" t="s">
        <v>133</v>
      </c>
      <c r="G59" s="24">
        <v>45660</v>
      </c>
      <c r="H59" s="16">
        <v>1</v>
      </c>
      <c r="I59" s="16" t="s">
        <v>32</v>
      </c>
      <c r="J59" s="16" t="s">
        <v>33</v>
      </c>
      <c r="K59" s="23" t="s">
        <v>34</v>
      </c>
      <c r="L59" s="16" t="s">
        <v>32</v>
      </c>
      <c r="M59" s="16" t="s">
        <v>33</v>
      </c>
      <c r="N59" s="16" t="s">
        <v>115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1.25" customHeight="1">
      <c r="A60" s="7"/>
      <c r="B60" s="7"/>
      <c r="C60" s="7"/>
      <c r="D60" s="7"/>
      <c r="E60" s="16" t="s">
        <v>134</v>
      </c>
      <c r="F60" s="16" t="s">
        <v>135</v>
      </c>
      <c r="G60" s="24">
        <v>45660</v>
      </c>
      <c r="H60" s="16">
        <v>2</v>
      </c>
      <c r="I60" s="16" t="s">
        <v>32</v>
      </c>
      <c r="J60" s="16" t="s">
        <v>33</v>
      </c>
      <c r="K60" s="23" t="s">
        <v>34</v>
      </c>
      <c r="L60" s="16" t="s">
        <v>32</v>
      </c>
      <c r="M60" s="16" t="s">
        <v>33</v>
      </c>
      <c r="N60" s="16" t="s">
        <v>115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1.25" customHeight="1">
      <c r="A61" s="7"/>
      <c r="B61" s="7"/>
      <c r="C61" s="7"/>
      <c r="D61" s="7"/>
      <c r="E61" s="16" t="s">
        <v>136</v>
      </c>
      <c r="F61" s="16" t="s">
        <v>137</v>
      </c>
      <c r="G61" s="18">
        <v>45663</v>
      </c>
      <c r="H61" s="16">
        <v>1</v>
      </c>
      <c r="I61" s="16" t="s">
        <v>32</v>
      </c>
      <c r="J61" s="16" t="s">
        <v>33</v>
      </c>
      <c r="K61" s="23" t="s">
        <v>34</v>
      </c>
      <c r="L61" s="16" t="s">
        <v>32</v>
      </c>
      <c r="M61" s="16" t="s">
        <v>33</v>
      </c>
      <c r="N61" s="16" t="s">
        <v>115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1.25" customHeight="1">
      <c r="A62" s="7"/>
      <c r="B62" s="7"/>
      <c r="C62" s="7"/>
      <c r="D62" s="7"/>
      <c r="E62" s="16" t="s">
        <v>138</v>
      </c>
      <c r="F62" s="16" t="s">
        <v>139</v>
      </c>
      <c r="G62" s="18">
        <v>45663</v>
      </c>
      <c r="H62" s="16">
        <v>3</v>
      </c>
      <c r="I62" s="16" t="s">
        <v>32</v>
      </c>
      <c r="J62" s="16" t="s">
        <v>33</v>
      </c>
      <c r="K62" s="23" t="s">
        <v>34</v>
      </c>
      <c r="L62" s="16" t="s">
        <v>32</v>
      </c>
      <c r="M62" s="16" t="s">
        <v>33</v>
      </c>
      <c r="N62" s="16" t="s">
        <v>115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1.25" customHeight="1">
      <c r="A63" s="7"/>
      <c r="B63" s="7"/>
      <c r="C63" s="7"/>
      <c r="D63" s="7"/>
      <c r="E63" s="16" t="s">
        <v>124</v>
      </c>
      <c r="F63" s="16" t="s">
        <v>140</v>
      </c>
      <c r="G63" s="18">
        <v>45663</v>
      </c>
      <c r="H63" s="16">
        <v>1</v>
      </c>
      <c r="I63" s="16" t="s">
        <v>45</v>
      </c>
      <c r="J63" s="16" t="s">
        <v>33</v>
      </c>
      <c r="K63" s="23" t="s">
        <v>34</v>
      </c>
      <c r="L63" s="16" t="s">
        <v>141</v>
      </c>
      <c r="M63" s="16" t="s">
        <v>33</v>
      </c>
      <c r="N63" s="16" t="s">
        <v>115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1.25" customHeight="1">
      <c r="A64" s="7"/>
      <c r="B64" s="7"/>
      <c r="C64" s="7"/>
      <c r="D64" s="7"/>
      <c r="E64" s="16" t="s">
        <v>142</v>
      </c>
      <c r="F64" s="16" t="s">
        <v>143</v>
      </c>
      <c r="G64" s="18">
        <v>45663</v>
      </c>
      <c r="H64" s="16">
        <v>1</v>
      </c>
      <c r="I64" s="16" t="s">
        <v>45</v>
      </c>
      <c r="J64" s="16" t="s">
        <v>33</v>
      </c>
      <c r="K64" s="23" t="s">
        <v>34</v>
      </c>
      <c r="L64" s="16" t="s">
        <v>141</v>
      </c>
      <c r="M64" s="16" t="s">
        <v>33</v>
      </c>
      <c r="N64" s="16" t="s">
        <v>115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1.25" customHeight="1">
      <c r="A65" s="7"/>
      <c r="B65" s="7"/>
      <c r="C65" s="7"/>
      <c r="D65" s="7"/>
      <c r="E65" s="7"/>
      <c r="F65" s="7"/>
      <c r="G65" s="2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1.25" customHeight="1">
      <c r="A66" s="23"/>
      <c r="B66" s="23"/>
      <c r="C66" s="23"/>
      <c r="D66" s="28"/>
      <c r="E66" s="23" t="s">
        <v>144</v>
      </c>
      <c r="F66" s="23" t="s">
        <v>145</v>
      </c>
      <c r="G66" s="24">
        <v>45660</v>
      </c>
      <c r="H66" s="23">
        <v>1</v>
      </c>
      <c r="I66" s="23" t="s">
        <v>32</v>
      </c>
      <c r="J66" s="23" t="s">
        <v>33</v>
      </c>
      <c r="K66" s="23" t="s">
        <v>34</v>
      </c>
      <c r="L66" s="23" t="s">
        <v>32</v>
      </c>
      <c r="M66" s="23" t="s">
        <v>35</v>
      </c>
      <c r="N66" s="23" t="s">
        <v>146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11.25" customHeight="1">
      <c r="A67" s="7"/>
      <c r="B67" s="7"/>
      <c r="C67" s="7"/>
      <c r="D67" s="7"/>
      <c r="E67" s="16" t="s">
        <v>144</v>
      </c>
      <c r="F67" s="16" t="s">
        <v>147</v>
      </c>
      <c r="G67" s="24">
        <v>45660</v>
      </c>
      <c r="H67" s="23">
        <v>1</v>
      </c>
      <c r="I67" s="23" t="s">
        <v>32</v>
      </c>
      <c r="J67" s="23" t="s">
        <v>33</v>
      </c>
      <c r="K67" s="23" t="s">
        <v>34</v>
      </c>
      <c r="L67" s="23" t="s">
        <v>32</v>
      </c>
      <c r="M67" s="23" t="s">
        <v>35</v>
      </c>
      <c r="N67" s="23" t="s">
        <v>146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1.25" customHeight="1">
      <c r="A68" s="7"/>
      <c r="B68" s="7"/>
      <c r="C68" s="7"/>
      <c r="D68" s="7"/>
      <c r="E68" s="16" t="s">
        <v>144</v>
      </c>
      <c r="F68" s="16" t="s">
        <v>148</v>
      </c>
      <c r="G68" s="24">
        <v>45660</v>
      </c>
      <c r="H68" s="23">
        <v>1</v>
      </c>
      <c r="I68" s="23" t="s">
        <v>32</v>
      </c>
      <c r="J68" s="23" t="s">
        <v>33</v>
      </c>
      <c r="K68" s="23" t="s">
        <v>34</v>
      </c>
      <c r="L68" s="23" t="s">
        <v>32</v>
      </c>
      <c r="M68" s="23" t="s">
        <v>35</v>
      </c>
      <c r="N68" s="23" t="s">
        <v>146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1.25" customHeight="1">
      <c r="A69" s="7"/>
      <c r="B69" s="7"/>
      <c r="C69" s="7"/>
      <c r="D69" s="7"/>
      <c r="E69" s="16" t="s">
        <v>144</v>
      </c>
      <c r="F69" s="16" t="s">
        <v>149</v>
      </c>
      <c r="G69" s="24">
        <v>45660</v>
      </c>
      <c r="H69" s="23">
        <v>1</v>
      </c>
      <c r="I69" s="23" t="s">
        <v>32</v>
      </c>
      <c r="J69" s="23" t="s">
        <v>33</v>
      </c>
      <c r="K69" s="23" t="s">
        <v>34</v>
      </c>
      <c r="L69" s="23" t="s">
        <v>32</v>
      </c>
      <c r="M69" s="23" t="s">
        <v>35</v>
      </c>
      <c r="N69" s="23" t="s">
        <v>146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1.25" customHeight="1">
      <c r="A70" s="7"/>
      <c r="B70" s="7"/>
      <c r="C70" s="7"/>
      <c r="D70" s="7"/>
      <c r="E70" s="16" t="s">
        <v>144</v>
      </c>
      <c r="F70" s="16" t="s">
        <v>150</v>
      </c>
      <c r="G70" s="24">
        <v>45660</v>
      </c>
      <c r="H70" s="23">
        <v>1</v>
      </c>
      <c r="I70" s="23" t="s">
        <v>32</v>
      </c>
      <c r="J70" s="23" t="s">
        <v>33</v>
      </c>
      <c r="K70" s="23" t="s">
        <v>34</v>
      </c>
      <c r="L70" s="23" t="s">
        <v>32</v>
      </c>
      <c r="M70" s="23" t="s">
        <v>35</v>
      </c>
      <c r="N70" s="23" t="s">
        <v>146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1.25" customHeight="1">
      <c r="A71" s="7"/>
      <c r="B71" s="7"/>
      <c r="C71" s="7"/>
      <c r="D71" s="7"/>
      <c r="E71" s="16" t="s">
        <v>144</v>
      </c>
      <c r="F71" s="16" t="s">
        <v>151</v>
      </c>
      <c r="G71" s="24">
        <v>45660</v>
      </c>
      <c r="H71" s="23">
        <v>1</v>
      </c>
      <c r="I71" s="23" t="s">
        <v>32</v>
      </c>
      <c r="J71" s="23" t="s">
        <v>33</v>
      </c>
      <c r="K71" s="23" t="s">
        <v>34</v>
      </c>
      <c r="L71" s="23" t="s">
        <v>32</v>
      </c>
      <c r="M71" s="23" t="s">
        <v>35</v>
      </c>
      <c r="N71" s="23" t="s">
        <v>146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1.25" customHeight="1">
      <c r="A72" s="7"/>
      <c r="B72" s="7"/>
      <c r="C72" s="7"/>
      <c r="D72" s="7"/>
      <c r="E72" s="16" t="s">
        <v>152</v>
      </c>
      <c r="F72" s="16" t="s">
        <v>153</v>
      </c>
      <c r="G72" s="24">
        <v>45660</v>
      </c>
      <c r="H72" s="23">
        <v>2</v>
      </c>
      <c r="I72" s="23" t="s">
        <v>45</v>
      </c>
      <c r="J72" s="23" t="s">
        <v>33</v>
      </c>
      <c r="K72" s="23" t="s">
        <v>34</v>
      </c>
      <c r="L72" s="23" t="s">
        <v>118</v>
      </c>
      <c r="M72" s="23" t="s">
        <v>35</v>
      </c>
      <c r="N72" s="23" t="s">
        <v>146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1.25" customHeight="1">
      <c r="A73" s="7"/>
      <c r="B73" s="7"/>
      <c r="C73" s="7"/>
      <c r="D73" s="7"/>
      <c r="E73" s="16" t="s">
        <v>152</v>
      </c>
      <c r="F73" s="16" t="s">
        <v>154</v>
      </c>
      <c r="G73" s="24">
        <v>45660</v>
      </c>
      <c r="H73" s="23">
        <v>2</v>
      </c>
      <c r="I73" s="23" t="s">
        <v>45</v>
      </c>
      <c r="J73" s="23" t="s">
        <v>33</v>
      </c>
      <c r="K73" s="23" t="s">
        <v>34</v>
      </c>
      <c r="L73" s="23" t="s">
        <v>141</v>
      </c>
      <c r="M73" s="23" t="s">
        <v>35</v>
      </c>
      <c r="N73" s="23" t="s">
        <v>146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1.25" customHeight="1">
      <c r="A74" s="7"/>
      <c r="B74" s="7"/>
      <c r="C74" s="7"/>
      <c r="D74" s="7"/>
      <c r="E74" s="16" t="s">
        <v>155</v>
      </c>
      <c r="F74" s="16" t="s">
        <v>156</v>
      </c>
      <c r="G74" s="24">
        <v>45660</v>
      </c>
      <c r="H74" s="23">
        <v>1</v>
      </c>
      <c r="I74" s="23" t="s">
        <v>32</v>
      </c>
      <c r="J74" s="23" t="s">
        <v>33</v>
      </c>
      <c r="K74" s="23" t="s">
        <v>34</v>
      </c>
      <c r="L74" s="23" t="s">
        <v>32</v>
      </c>
      <c r="M74" s="23" t="s">
        <v>35</v>
      </c>
      <c r="N74" s="23" t="s">
        <v>146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1.25" customHeight="1">
      <c r="A75" s="7"/>
      <c r="B75" s="7"/>
      <c r="C75" s="7"/>
      <c r="D75" s="7"/>
      <c r="E75" s="16" t="s">
        <v>155</v>
      </c>
      <c r="F75" s="16" t="s">
        <v>157</v>
      </c>
      <c r="G75" s="24">
        <v>45660</v>
      </c>
      <c r="H75" s="23">
        <v>2</v>
      </c>
      <c r="I75" s="23" t="s">
        <v>45</v>
      </c>
      <c r="J75" s="23" t="s">
        <v>33</v>
      </c>
      <c r="K75" s="23" t="s">
        <v>34</v>
      </c>
      <c r="L75" s="23" t="s">
        <v>32</v>
      </c>
      <c r="M75" s="23" t="s">
        <v>35</v>
      </c>
      <c r="N75" s="23" t="s">
        <v>146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1.25" customHeight="1">
      <c r="A76" s="7"/>
      <c r="B76" s="7"/>
      <c r="C76" s="7"/>
      <c r="D76" s="7"/>
      <c r="E76" s="16" t="s">
        <v>158</v>
      </c>
      <c r="F76" s="16" t="s">
        <v>159</v>
      </c>
      <c r="G76" s="24">
        <v>45660</v>
      </c>
      <c r="H76" s="23">
        <v>1</v>
      </c>
      <c r="I76" s="23" t="s">
        <v>32</v>
      </c>
      <c r="J76" s="23" t="s">
        <v>33</v>
      </c>
      <c r="K76" s="23" t="s">
        <v>34</v>
      </c>
      <c r="L76" s="23" t="s">
        <v>32</v>
      </c>
      <c r="M76" s="23" t="s">
        <v>35</v>
      </c>
      <c r="N76" s="23" t="s">
        <v>146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1.25" customHeight="1">
      <c r="A77" s="7"/>
      <c r="B77" s="7"/>
      <c r="C77" s="7"/>
      <c r="D77" s="7"/>
      <c r="E77" s="16" t="s">
        <v>158</v>
      </c>
      <c r="F77" s="16" t="s">
        <v>160</v>
      </c>
      <c r="G77" s="24">
        <v>45660</v>
      </c>
      <c r="H77" s="23">
        <v>1</v>
      </c>
      <c r="I77" s="23" t="s">
        <v>32</v>
      </c>
      <c r="J77" s="23" t="s">
        <v>33</v>
      </c>
      <c r="K77" s="23" t="s">
        <v>34</v>
      </c>
      <c r="L77" s="23" t="s">
        <v>32</v>
      </c>
      <c r="M77" s="23" t="s">
        <v>35</v>
      </c>
      <c r="N77" s="23" t="s">
        <v>146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1.25" customHeight="1">
      <c r="A78" s="7"/>
      <c r="B78" s="7"/>
      <c r="C78" s="7"/>
      <c r="D78" s="7"/>
      <c r="E78" s="16" t="s">
        <v>158</v>
      </c>
      <c r="F78" s="16" t="s">
        <v>161</v>
      </c>
      <c r="G78" s="24">
        <v>45660</v>
      </c>
      <c r="H78" s="23">
        <v>2</v>
      </c>
      <c r="I78" s="23" t="s">
        <v>45</v>
      </c>
      <c r="J78" s="23" t="s">
        <v>33</v>
      </c>
      <c r="K78" s="23" t="s">
        <v>34</v>
      </c>
      <c r="L78" s="23" t="s">
        <v>48</v>
      </c>
      <c r="M78" s="23" t="s">
        <v>35</v>
      </c>
      <c r="N78" s="23" t="s">
        <v>146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1.25" customHeight="1">
      <c r="A79" s="7"/>
      <c r="B79" s="7"/>
      <c r="C79" s="7"/>
      <c r="D79" s="7"/>
      <c r="E79" s="16" t="s">
        <v>158</v>
      </c>
      <c r="F79" s="16" t="s">
        <v>162</v>
      </c>
      <c r="G79" s="24">
        <v>45660</v>
      </c>
      <c r="H79" s="23">
        <v>2</v>
      </c>
      <c r="I79" s="23" t="s">
        <v>45</v>
      </c>
      <c r="J79" s="23" t="s">
        <v>33</v>
      </c>
      <c r="K79" s="23" t="s">
        <v>34</v>
      </c>
      <c r="L79" s="23" t="s">
        <v>48</v>
      </c>
      <c r="M79" s="23" t="s">
        <v>35</v>
      </c>
      <c r="N79" s="23" t="s">
        <v>146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1.25" customHeight="1">
      <c r="A80" s="7"/>
      <c r="B80" s="7"/>
      <c r="C80" s="7"/>
      <c r="D80" s="7"/>
      <c r="E80" s="16" t="s">
        <v>163</v>
      </c>
      <c r="F80" s="16" t="s">
        <v>164</v>
      </c>
      <c r="G80" s="24">
        <v>45660</v>
      </c>
      <c r="H80" s="23">
        <v>2</v>
      </c>
      <c r="I80" s="23" t="s">
        <v>45</v>
      </c>
      <c r="J80" s="23" t="s">
        <v>33</v>
      </c>
      <c r="K80" s="23" t="s">
        <v>34</v>
      </c>
      <c r="L80" s="23" t="s">
        <v>48</v>
      </c>
      <c r="M80" s="23" t="s">
        <v>35</v>
      </c>
      <c r="N80" s="23" t="s">
        <v>146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1.25" customHeight="1">
      <c r="A81" s="7"/>
      <c r="B81" s="7"/>
      <c r="C81" s="7"/>
      <c r="D81" s="7"/>
      <c r="E81" s="16" t="s">
        <v>165</v>
      </c>
      <c r="F81" s="16" t="s">
        <v>166</v>
      </c>
      <c r="G81" s="24">
        <v>45660</v>
      </c>
      <c r="H81" s="23">
        <v>1</v>
      </c>
      <c r="I81" s="23" t="s">
        <v>32</v>
      </c>
      <c r="J81" s="23" t="s">
        <v>33</v>
      </c>
      <c r="K81" s="23" t="s">
        <v>34</v>
      </c>
      <c r="L81" s="23" t="s">
        <v>32</v>
      </c>
      <c r="M81" s="23" t="s">
        <v>35</v>
      </c>
      <c r="N81" s="23" t="s">
        <v>146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1.25" customHeight="1">
      <c r="A82" s="7"/>
      <c r="B82" s="7"/>
      <c r="C82" s="7"/>
      <c r="D82" s="7"/>
      <c r="E82" s="16" t="s">
        <v>167</v>
      </c>
      <c r="F82" s="16" t="s">
        <v>168</v>
      </c>
      <c r="G82" s="24">
        <v>45660</v>
      </c>
      <c r="H82" s="23">
        <v>1</v>
      </c>
      <c r="I82" s="23" t="s">
        <v>32</v>
      </c>
      <c r="J82" s="23" t="s">
        <v>33</v>
      </c>
      <c r="K82" s="23" t="s">
        <v>34</v>
      </c>
      <c r="L82" s="23" t="s">
        <v>32</v>
      </c>
      <c r="M82" s="23" t="s">
        <v>35</v>
      </c>
      <c r="N82" s="23" t="s">
        <v>146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1.25" customHeight="1">
      <c r="A83" s="7"/>
      <c r="B83" s="7"/>
      <c r="C83" s="7"/>
      <c r="D83" s="7"/>
      <c r="E83" s="16" t="s">
        <v>169</v>
      </c>
      <c r="F83" s="16" t="s">
        <v>170</v>
      </c>
      <c r="G83" s="24">
        <v>45660</v>
      </c>
      <c r="H83" s="23">
        <v>1</v>
      </c>
      <c r="I83" s="23" t="s">
        <v>45</v>
      </c>
      <c r="J83" s="23" t="s">
        <v>33</v>
      </c>
      <c r="K83" s="23" t="s">
        <v>34</v>
      </c>
      <c r="L83" s="23" t="s">
        <v>141</v>
      </c>
      <c r="M83" s="23" t="s">
        <v>35</v>
      </c>
      <c r="N83" s="23" t="s">
        <v>146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1.25" customHeight="1">
      <c r="A84" s="7"/>
      <c r="B84" s="7"/>
      <c r="C84" s="7"/>
      <c r="D84" s="7"/>
      <c r="E84" s="29" t="s">
        <v>144</v>
      </c>
      <c r="F84" s="16" t="s">
        <v>171</v>
      </c>
      <c r="G84" s="18">
        <v>45663</v>
      </c>
      <c r="H84" s="16">
        <v>3</v>
      </c>
      <c r="I84" s="16" t="s">
        <v>45</v>
      </c>
      <c r="J84" s="16" t="s">
        <v>33</v>
      </c>
      <c r="K84" s="23" t="s">
        <v>34</v>
      </c>
      <c r="L84" s="16" t="s">
        <v>141</v>
      </c>
      <c r="M84" s="23" t="s">
        <v>35</v>
      </c>
      <c r="N84" s="23" t="s">
        <v>146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1.25" customHeight="1">
      <c r="A85" s="7"/>
      <c r="B85" s="7"/>
      <c r="C85" s="7"/>
      <c r="D85" s="7"/>
      <c r="E85" s="29" t="s">
        <v>144</v>
      </c>
      <c r="F85" s="29" t="s">
        <v>172</v>
      </c>
      <c r="G85" s="18">
        <v>45663</v>
      </c>
      <c r="H85" s="16">
        <v>3</v>
      </c>
      <c r="I85" s="16" t="s">
        <v>32</v>
      </c>
      <c r="J85" s="16" t="s">
        <v>33</v>
      </c>
      <c r="K85" s="23" t="s">
        <v>34</v>
      </c>
      <c r="L85" s="16" t="s">
        <v>32</v>
      </c>
      <c r="M85" s="23" t="s">
        <v>35</v>
      </c>
      <c r="N85" s="23" t="s">
        <v>146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1.25" customHeight="1">
      <c r="A86" s="7"/>
      <c r="B86" s="7"/>
      <c r="C86" s="7"/>
      <c r="D86" s="7"/>
      <c r="E86" s="16" t="s">
        <v>152</v>
      </c>
      <c r="F86" s="16" t="s">
        <v>173</v>
      </c>
      <c r="G86" s="18">
        <v>45663</v>
      </c>
      <c r="H86" s="16">
        <v>3</v>
      </c>
      <c r="I86" s="16" t="s">
        <v>32</v>
      </c>
      <c r="J86" s="16" t="s">
        <v>33</v>
      </c>
      <c r="K86" s="23" t="s">
        <v>34</v>
      </c>
      <c r="L86" s="16" t="s">
        <v>32</v>
      </c>
      <c r="M86" s="23" t="s">
        <v>35</v>
      </c>
      <c r="N86" s="23" t="s">
        <v>146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1.25" customHeight="1">
      <c r="A87" s="7"/>
      <c r="B87" s="7"/>
      <c r="C87" s="7"/>
      <c r="D87" s="7"/>
      <c r="E87" s="29" t="s">
        <v>152</v>
      </c>
      <c r="F87" s="29" t="s">
        <v>174</v>
      </c>
      <c r="G87" s="18">
        <v>45663</v>
      </c>
      <c r="H87" s="16">
        <v>3</v>
      </c>
      <c r="I87" s="29" t="s">
        <v>45</v>
      </c>
      <c r="J87" s="29" t="s">
        <v>33</v>
      </c>
      <c r="K87" s="23" t="s">
        <v>34</v>
      </c>
      <c r="L87" s="29" t="s">
        <v>141</v>
      </c>
      <c r="M87" s="23" t="s">
        <v>35</v>
      </c>
      <c r="N87" s="23" t="s">
        <v>146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1.25" customHeight="1">
      <c r="A88" s="7"/>
      <c r="B88" s="7"/>
      <c r="C88" s="7"/>
      <c r="D88" s="7"/>
      <c r="E88" s="29" t="s">
        <v>175</v>
      </c>
      <c r="F88" s="16" t="s">
        <v>176</v>
      </c>
      <c r="G88" s="18">
        <v>45663</v>
      </c>
      <c r="H88" s="16">
        <v>3</v>
      </c>
      <c r="I88" s="16" t="s">
        <v>32</v>
      </c>
      <c r="J88" s="16" t="s">
        <v>33</v>
      </c>
      <c r="K88" s="23" t="s">
        <v>34</v>
      </c>
      <c r="L88" s="16" t="s">
        <v>32</v>
      </c>
      <c r="M88" s="23" t="s">
        <v>35</v>
      </c>
      <c r="N88" s="23" t="s">
        <v>146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1.25" customHeight="1">
      <c r="A89" s="7"/>
      <c r="B89" s="7"/>
      <c r="C89" s="7"/>
      <c r="D89" s="7"/>
      <c r="E89" s="29" t="s">
        <v>169</v>
      </c>
      <c r="F89" s="16" t="s">
        <v>177</v>
      </c>
      <c r="G89" s="18">
        <v>45663</v>
      </c>
      <c r="H89" s="16">
        <v>3</v>
      </c>
      <c r="I89" s="16" t="s">
        <v>45</v>
      </c>
      <c r="J89" s="16" t="s">
        <v>33</v>
      </c>
      <c r="K89" s="23" t="s">
        <v>34</v>
      </c>
      <c r="L89" s="16" t="s">
        <v>178</v>
      </c>
      <c r="M89" s="23" t="s">
        <v>35</v>
      </c>
      <c r="N89" s="23" t="s">
        <v>146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1.25" customHeight="1">
      <c r="A90" s="7"/>
      <c r="B90" s="7"/>
      <c r="C90" s="7"/>
      <c r="D90" s="7"/>
      <c r="E90" s="29" t="s">
        <v>179</v>
      </c>
      <c r="F90" s="16" t="s">
        <v>180</v>
      </c>
      <c r="G90" s="18">
        <v>45663</v>
      </c>
      <c r="H90" s="16">
        <v>3</v>
      </c>
      <c r="I90" s="16" t="s">
        <v>45</v>
      </c>
      <c r="J90" s="16" t="s">
        <v>33</v>
      </c>
      <c r="K90" s="23" t="s">
        <v>34</v>
      </c>
      <c r="L90" s="16" t="s">
        <v>48</v>
      </c>
      <c r="M90" s="23" t="s">
        <v>35</v>
      </c>
      <c r="N90" s="23" t="s">
        <v>146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1.25" customHeight="1">
      <c r="A91" s="7"/>
      <c r="B91" s="7"/>
      <c r="C91" s="7"/>
      <c r="D91" s="7"/>
      <c r="E91" s="29" t="s">
        <v>181</v>
      </c>
      <c r="F91" s="16" t="s">
        <v>182</v>
      </c>
      <c r="G91" s="18">
        <v>45663</v>
      </c>
      <c r="H91" s="16">
        <v>3</v>
      </c>
      <c r="I91" s="16" t="s">
        <v>32</v>
      </c>
      <c r="J91" s="16" t="s">
        <v>33</v>
      </c>
      <c r="K91" s="23" t="s">
        <v>34</v>
      </c>
      <c r="L91" s="16" t="s">
        <v>32</v>
      </c>
      <c r="M91" s="23" t="s">
        <v>35</v>
      </c>
      <c r="N91" s="23" t="s">
        <v>146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1.25" customHeight="1">
      <c r="A92" s="7"/>
      <c r="B92" s="7"/>
      <c r="C92" s="7"/>
      <c r="D92" s="7"/>
      <c r="E92" s="29" t="s">
        <v>183</v>
      </c>
      <c r="F92" s="16" t="s">
        <v>184</v>
      </c>
      <c r="G92" s="18">
        <v>45663</v>
      </c>
      <c r="H92" s="16">
        <v>3</v>
      </c>
      <c r="I92" s="16" t="s">
        <v>45</v>
      </c>
      <c r="J92" s="16" t="s">
        <v>33</v>
      </c>
      <c r="K92" s="23" t="s">
        <v>34</v>
      </c>
      <c r="L92" s="16" t="s">
        <v>48</v>
      </c>
      <c r="M92" s="23" t="s">
        <v>35</v>
      </c>
      <c r="N92" s="23" t="s">
        <v>146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1.25" customHeight="1">
      <c r="A93" s="7"/>
      <c r="B93" s="7"/>
      <c r="C93" s="7"/>
      <c r="D93" s="7"/>
      <c r="E93" s="29" t="s">
        <v>185</v>
      </c>
      <c r="F93" s="29" t="s">
        <v>186</v>
      </c>
      <c r="G93" s="18">
        <v>45663</v>
      </c>
      <c r="H93" s="16">
        <v>3</v>
      </c>
      <c r="I93" s="16" t="s">
        <v>32</v>
      </c>
      <c r="J93" s="16" t="s">
        <v>33</v>
      </c>
      <c r="K93" s="23" t="s">
        <v>34</v>
      </c>
      <c r="L93" s="16" t="s">
        <v>32</v>
      </c>
      <c r="M93" s="23" t="s">
        <v>35</v>
      </c>
      <c r="N93" s="23" t="s">
        <v>146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1.25" customHeight="1">
      <c r="E94" s="16" t="s">
        <v>155</v>
      </c>
      <c r="F94" s="16" t="s">
        <v>187</v>
      </c>
      <c r="G94" s="18">
        <v>45663</v>
      </c>
      <c r="H94" s="16">
        <v>3</v>
      </c>
      <c r="I94" s="16" t="s">
        <v>32</v>
      </c>
      <c r="J94" s="16" t="s">
        <v>33</v>
      </c>
      <c r="K94" s="23" t="s">
        <v>34</v>
      </c>
      <c r="L94" s="16" t="s">
        <v>32</v>
      </c>
      <c r="M94" s="23" t="s">
        <v>35</v>
      </c>
      <c r="N94" s="23" t="s">
        <v>146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1.25" customHeight="1">
      <c r="E95" s="29" t="s">
        <v>181</v>
      </c>
      <c r="F95" s="29" t="s">
        <v>188</v>
      </c>
      <c r="G95" s="18">
        <v>45663</v>
      </c>
      <c r="H95" s="16">
        <v>3</v>
      </c>
      <c r="I95" s="16" t="s">
        <v>32</v>
      </c>
      <c r="J95" s="16" t="s">
        <v>33</v>
      </c>
      <c r="K95" s="23" t="s">
        <v>34</v>
      </c>
      <c r="L95" s="16" t="s">
        <v>32</v>
      </c>
      <c r="M95" s="23" t="s">
        <v>35</v>
      </c>
      <c r="N95" s="23" t="s">
        <v>146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1.25" customHeight="1">
      <c r="E96" s="29" t="s">
        <v>158</v>
      </c>
      <c r="F96" s="29" t="s">
        <v>189</v>
      </c>
      <c r="G96" s="18">
        <v>45663</v>
      </c>
      <c r="H96" s="29">
        <v>2</v>
      </c>
      <c r="I96" s="29" t="s">
        <v>45</v>
      </c>
      <c r="J96" s="16" t="s">
        <v>33</v>
      </c>
      <c r="K96" s="23" t="s">
        <v>34</v>
      </c>
      <c r="L96" s="29" t="s">
        <v>48</v>
      </c>
      <c r="M96" s="23" t="s">
        <v>35</v>
      </c>
      <c r="N96" s="23" t="s">
        <v>146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1.25" customHeight="1">
      <c r="E97" s="29" t="s">
        <v>155</v>
      </c>
      <c r="F97" s="29" t="s">
        <v>190</v>
      </c>
      <c r="G97" s="18">
        <v>45663</v>
      </c>
      <c r="H97" s="29">
        <v>1</v>
      </c>
      <c r="I97" s="29" t="s">
        <v>32</v>
      </c>
      <c r="J97" s="16" t="s">
        <v>33</v>
      </c>
      <c r="K97" s="23" t="s">
        <v>34</v>
      </c>
      <c r="L97" s="29" t="s">
        <v>32</v>
      </c>
      <c r="M97" s="23" t="s">
        <v>35</v>
      </c>
      <c r="N97" s="23" t="s">
        <v>146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1.25" customHeight="1">
      <c r="E98" s="29" t="s">
        <v>183</v>
      </c>
      <c r="F98" s="29" t="s">
        <v>191</v>
      </c>
      <c r="G98" s="18">
        <v>45663</v>
      </c>
      <c r="H98" s="29">
        <v>3</v>
      </c>
      <c r="I98" s="29" t="s">
        <v>45</v>
      </c>
      <c r="J98" s="16" t="s">
        <v>33</v>
      </c>
      <c r="K98" s="23" t="s">
        <v>34</v>
      </c>
      <c r="L98" s="29" t="s">
        <v>48</v>
      </c>
      <c r="M98" s="23" t="s">
        <v>35</v>
      </c>
      <c r="N98" s="23" t="s">
        <v>146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1.25" customHeight="1">
      <c r="E99" s="29" t="s">
        <v>152</v>
      </c>
      <c r="F99" s="29" t="s">
        <v>192</v>
      </c>
      <c r="G99" s="18">
        <v>45663</v>
      </c>
      <c r="H99" s="29">
        <v>1</v>
      </c>
      <c r="I99" s="29" t="s">
        <v>45</v>
      </c>
      <c r="J99" s="16" t="s">
        <v>33</v>
      </c>
      <c r="K99" s="23" t="s">
        <v>34</v>
      </c>
      <c r="L99" s="16" t="s">
        <v>178</v>
      </c>
      <c r="M99" s="23" t="s">
        <v>35</v>
      </c>
      <c r="N99" s="23" t="s">
        <v>146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1.25" customHeight="1">
      <c r="E100" s="25" t="s">
        <v>193</v>
      </c>
      <c r="F100" s="25" t="s">
        <v>194</v>
      </c>
      <c r="G100" s="18">
        <v>45665</v>
      </c>
      <c r="H100" s="25">
        <v>3</v>
      </c>
      <c r="I100" s="25" t="s">
        <v>32</v>
      </c>
      <c r="J100" s="25" t="s">
        <v>195</v>
      </c>
      <c r="K100" s="25" t="s">
        <v>196</v>
      </c>
      <c r="L100" s="25" t="s">
        <v>32</v>
      </c>
      <c r="M100" s="25" t="s">
        <v>197</v>
      </c>
      <c r="N100" s="25" t="s">
        <v>146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1.25" customHeight="1">
      <c r="E101" s="25" t="s">
        <v>155</v>
      </c>
      <c r="F101" s="25" t="s">
        <v>198</v>
      </c>
      <c r="G101" s="18">
        <v>45665</v>
      </c>
      <c r="H101" s="25">
        <v>3</v>
      </c>
      <c r="I101" s="25" t="s">
        <v>32</v>
      </c>
      <c r="J101" s="25" t="s">
        <v>195</v>
      </c>
      <c r="K101" s="25" t="s">
        <v>196</v>
      </c>
      <c r="L101" s="25" t="s">
        <v>32</v>
      </c>
      <c r="M101" s="25" t="s">
        <v>197</v>
      </c>
      <c r="N101" s="25" t="s">
        <v>146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1.25" customHeight="1">
      <c r="A102" s="16"/>
      <c r="B102" s="16"/>
      <c r="C102" s="16"/>
      <c r="D102" s="7"/>
      <c r="E102" s="16" t="s">
        <v>199</v>
      </c>
      <c r="F102" s="16" t="s">
        <v>161</v>
      </c>
      <c r="G102" s="18">
        <v>45661</v>
      </c>
      <c r="H102" s="16">
        <v>2</v>
      </c>
      <c r="I102" s="16" t="s">
        <v>32</v>
      </c>
      <c r="J102" s="16" t="s">
        <v>33</v>
      </c>
      <c r="K102" s="16" t="s">
        <v>34</v>
      </c>
      <c r="L102" s="16" t="s">
        <v>41</v>
      </c>
      <c r="M102" s="16" t="s">
        <v>35</v>
      </c>
      <c r="N102" s="16" t="s">
        <v>200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1.25" customHeight="1">
      <c r="A103" s="7"/>
      <c r="B103" s="7"/>
      <c r="C103" s="7"/>
      <c r="D103" s="7"/>
      <c r="E103" s="16" t="s">
        <v>201</v>
      </c>
      <c r="F103" s="16" t="s">
        <v>202</v>
      </c>
      <c r="G103" s="18">
        <v>45661</v>
      </c>
      <c r="H103" s="16">
        <v>1</v>
      </c>
      <c r="I103" s="16" t="s">
        <v>45</v>
      </c>
      <c r="J103" s="16" t="s">
        <v>33</v>
      </c>
      <c r="K103" s="16" t="s">
        <v>34</v>
      </c>
      <c r="L103" s="16" t="s">
        <v>38</v>
      </c>
      <c r="M103" s="16" t="s">
        <v>35</v>
      </c>
      <c r="N103" s="16" t="s">
        <v>200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1.25" customHeight="1">
      <c r="A104" s="7"/>
      <c r="B104" s="7"/>
      <c r="C104" s="7"/>
      <c r="D104" s="7"/>
      <c r="E104" s="16" t="s">
        <v>203</v>
      </c>
      <c r="F104" s="16" t="s">
        <v>204</v>
      </c>
      <c r="G104" s="18">
        <v>45661</v>
      </c>
      <c r="H104" s="16">
        <v>1</v>
      </c>
      <c r="I104" s="16" t="s">
        <v>45</v>
      </c>
      <c r="J104" s="16" t="s">
        <v>33</v>
      </c>
      <c r="K104" s="16" t="s">
        <v>34</v>
      </c>
      <c r="L104" s="16" t="s">
        <v>38</v>
      </c>
      <c r="M104" s="16" t="s">
        <v>35</v>
      </c>
      <c r="N104" s="16" t="s">
        <v>200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1.25" customHeight="1">
      <c r="A105" s="7"/>
      <c r="B105" s="7"/>
      <c r="C105" s="7"/>
      <c r="D105" s="7"/>
      <c r="E105" s="16" t="s">
        <v>203</v>
      </c>
      <c r="F105" s="16" t="s">
        <v>205</v>
      </c>
      <c r="G105" s="18">
        <v>45660</v>
      </c>
      <c r="H105" s="16">
        <v>3</v>
      </c>
      <c r="I105" s="16" t="s">
        <v>32</v>
      </c>
      <c r="J105" s="16" t="s">
        <v>33</v>
      </c>
      <c r="K105" s="16" t="s">
        <v>34</v>
      </c>
      <c r="L105" s="16" t="s">
        <v>41</v>
      </c>
      <c r="M105" s="16" t="s">
        <v>35</v>
      </c>
      <c r="N105" s="16" t="s">
        <v>200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1.25" customHeight="1">
      <c r="A106" s="7"/>
      <c r="B106" s="7"/>
      <c r="C106" s="7"/>
      <c r="D106" s="7"/>
      <c r="E106" s="16" t="s">
        <v>203</v>
      </c>
      <c r="F106" s="16" t="s">
        <v>206</v>
      </c>
      <c r="G106" s="18">
        <v>45660</v>
      </c>
      <c r="H106" s="16">
        <v>1</v>
      </c>
      <c r="I106" s="16" t="s">
        <v>45</v>
      </c>
      <c r="J106" s="16" t="s">
        <v>33</v>
      </c>
      <c r="K106" s="16" t="s">
        <v>34</v>
      </c>
      <c r="L106" s="16" t="s">
        <v>41</v>
      </c>
      <c r="M106" s="16" t="s">
        <v>35</v>
      </c>
      <c r="N106" s="16" t="s">
        <v>200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1.25" customHeight="1">
      <c r="A107" s="7"/>
      <c r="B107" s="7"/>
      <c r="C107" s="7"/>
      <c r="D107" s="7"/>
      <c r="E107" s="16" t="s">
        <v>203</v>
      </c>
      <c r="F107" s="16" t="s">
        <v>207</v>
      </c>
      <c r="G107" s="18">
        <v>45661</v>
      </c>
      <c r="H107" s="16">
        <v>1</v>
      </c>
      <c r="I107" s="16" t="s">
        <v>45</v>
      </c>
      <c r="J107" s="16" t="s">
        <v>33</v>
      </c>
      <c r="K107" s="16" t="s">
        <v>34</v>
      </c>
      <c r="L107" s="16" t="s">
        <v>41</v>
      </c>
      <c r="M107" s="16" t="s">
        <v>35</v>
      </c>
      <c r="N107" s="16" t="s">
        <v>200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1.25" customHeight="1">
      <c r="A108" s="7"/>
      <c r="B108" s="7"/>
      <c r="C108" s="7"/>
      <c r="D108" s="7"/>
      <c r="E108" s="16" t="s">
        <v>203</v>
      </c>
      <c r="F108" s="16" t="s">
        <v>208</v>
      </c>
      <c r="G108" s="18">
        <v>45660</v>
      </c>
      <c r="H108" s="16">
        <v>3</v>
      </c>
      <c r="I108" s="16" t="s">
        <v>32</v>
      </c>
      <c r="J108" s="16" t="s">
        <v>33</v>
      </c>
      <c r="K108" s="16" t="s">
        <v>34</v>
      </c>
      <c r="L108" s="16" t="s">
        <v>41</v>
      </c>
      <c r="M108" s="16" t="s">
        <v>35</v>
      </c>
      <c r="N108" s="16" t="s">
        <v>200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1.25" customHeight="1">
      <c r="A109" s="7"/>
      <c r="B109" s="7"/>
      <c r="C109" s="7"/>
      <c r="D109" s="7"/>
      <c r="E109" s="16" t="s">
        <v>209</v>
      </c>
      <c r="F109" s="16" t="s">
        <v>210</v>
      </c>
      <c r="G109" s="18">
        <v>45660</v>
      </c>
      <c r="H109" s="16">
        <v>1</v>
      </c>
      <c r="I109" s="16" t="s">
        <v>45</v>
      </c>
      <c r="J109" s="16" t="s">
        <v>33</v>
      </c>
      <c r="K109" s="16" t="s">
        <v>34</v>
      </c>
      <c r="L109" s="16" t="s">
        <v>41</v>
      </c>
      <c r="M109" s="16" t="s">
        <v>35</v>
      </c>
      <c r="N109" s="16" t="s">
        <v>200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1.25" customHeight="1">
      <c r="A110" s="7"/>
      <c r="B110" s="7"/>
      <c r="C110" s="7"/>
      <c r="D110" s="7"/>
      <c r="E110" s="16" t="s">
        <v>211</v>
      </c>
      <c r="F110" s="16" t="s">
        <v>212</v>
      </c>
      <c r="G110" s="18">
        <v>45661</v>
      </c>
      <c r="H110" s="16">
        <v>1</v>
      </c>
      <c r="I110" s="16" t="s">
        <v>45</v>
      </c>
      <c r="J110" s="16" t="s">
        <v>33</v>
      </c>
      <c r="K110" s="16" t="s">
        <v>34</v>
      </c>
      <c r="L110" s="16" t="s">
        <v>41</v>
      </c>
      <c r="M110" s="16" t="s">
        <v>35</v>
      </c>
      <c r="N110" s="16" t="s">
        <v>200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1.25" customHeight="1">
      <c r="A111" s="7"/>
      <c r="B111" s="7"/>
      <c r="C111" s="7"/>
      <c r="D111" s="7"/>
      <c r="E111" s="16" t="s">
        <v>213</v>
      </c>
      <c r="F111" s="16" t="s">
        <v>214</v>
      </c>
      <c r="G111" s="18">
        <v>45661</v>
      </c>
      <c r="H111" s="16">
        <v>2</v>
      </c>
      <c r="I111" s="16" t="s">
        <v>32</v>
      </c>
      <c r="J111" s="16" t="s">
        <v>33</v>
      </c>
      <c r="K111" s="16" t="s">
        <v>34</v>
      </c>
      <c r="L111" s="16" t="s">
        <v>118</v>
      </c>
      <c r="M111" s="16" t="s">
        <v>35</v>
      </c>
      <c r="N111" s="16" t="s">
        <v>200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1.25" customHeight="1">
      <c r="A112" s="7"/>
      <c r="B112" s="7"/>
      <c r="C112" s="7"/>
      <c r="D112" s="7"/>
      <c r="E112" s="16" t="s">
        <v>215</v>
      </c>
      <c r="F112" s="16" t="s">
        <v>216</v>
      </c>
      <c r="G112" s="18">
        <v>45660</v>
      </c>
      <c r="H112" s="16">
        <v>3</v>
      </c>
      <c r="I112" s="16" t="s">
        <v>32</v>
      </c>
      <c r="J112" s="16" t="s">
        <v>33</v>
      </c>
      <c r="K112" s="16" t="s">
        <v>34</v>
      </c>
      <c r="L112" s="16" t="s">
        <v>41</v>
      </c>
      <c r="M112" s="16" t="s">
        <v>35</v>
      </c>
      <c r="N112" s="16" t="s">
        <v>200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1.25" customHeight="1">
      <c r="A113" s="7"/>
      <c r="B113" s="7"/>
      <c r="C113" s="7"/>
      <c r="D113" s="7"/>
      <c r="E113" s="16" t="s">
        <v>217</v>
      </c>
      <c r="F113" s="16" t="s">
        <v>218</v>
      </c>
      <c r="G113" s="18">
        <v>45661</v>
      </c>
      <c r="H113" s="16">
        <v>3</v>
      </c>
      <c r="I113" s="16" t="s">
        <v>32</v>
      </c>
      <c r="J113" s="16" t="s">
        <v>33</v>
      </c>
      <c r="K113" s="16" t="s">
        <v>34</v>
      </c>
      <c r="L113" s="16" t="s">
        <v>48</v>
      </c>
      <c r="M113" s="16" t="s">
        <v>35</v>
      </c>
      <c r="N113" s="16" t="s">
        <v>200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1.25" customHeight="1">
      <c r="A114" s="7"/>
      <c r="B114" s="7"/>
      <c r="C114" s="7"/>
      <c r="D114" s="7"/>
      <c r="E114" s="16" t="s">
        <v>217</v>
      </c>
      <c r="F114" s="16" t="s">
        <v>219</v>
      </c>
      <c r="G114" s="18">
        <v>45663</v>
      </c>
      <c r="H114" s="16">
        <v>3</v>
      </c>
      <c r="I114" s="16" t="s">
        <v>32</v>
      </c>
      <c r="J114" s="16" t="s">
        <v>33</v>
      </c>
      <c r="K114" s="16" t="s">
        <v>34</v>
      </c>
      <c r="L114" s="16" t="s">
        <v>41</v>
      </c>
      <c r="M114" s="16" t="s">
        <v>35</v>
      </c>
      <c r="N114" s="16" t="s">
        <v>200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1.25" customHeight="1">
      <c r="A115" s="7"/>
      <c r="B115" s="7"/>
      <c r="C115" s="7"/>
      <c r="D115" s="7"/>
      <c r="E115" s="16" t="s">
        <v>220</v>
      </c>
      <c r="F115" s="16" t="s">
        <v>221</v>
      </c>
      <c r="G115" s="18">
        <v>45660</v>
      </c>
      <c r="H115" s="16">
        <v>3</v>
      </c>
      <c r="I115" s="16" t="s">
        <v>32</v>
      </c>
      <c r="J115" s="16" t="s">
        <v>33</v>
      </c>
      <c r="K115" s="16" t="s">
        <v>34</v>
      </c>
      <c r="L115" s="16" t="s">
        <v>141</v>
      </c>
      <c r="M115" s="16" t="s">
        <v>35</v>
      </c>
      <c r="N115" s="16" t="s">
        <v>200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1.25" customHeight="1">
      <c r="A116" s="7"/>
      <c r="B116" s="7"/>
      <c r="C116" s="7"/>
      <c r="D116" s="7"/>
      <c r="E116" s="16" t="s">
        <v>222</v>
      </c>
      <c r="F116" s="16" t="s">
        <v>223</v>
      </c>
      <c r="G116" s="18">
        <v>45660</v>
      </c>
      <c r="H116" s="16">
        <v>3</v>
      </c>
      <c r="I116" s="16" t="s">
        <v>32</v>
      </c>
      <c r="J116" s="16" t="s">
        <v>33</v>
      </c>
      <c r="K116" s="16" t="s">
        <v>34</v>
      </c>
      <c r="L116" s="16" t="s">
        <v>224</v>
      </c>
      <c r="M116" s="16" t="s">
        <v>35</v>
      </c>
      <c r="N116" s="16" t="s">
        <v>200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1.25" customHeight="1">
      <c r="A117" s="7"/>
      <c r="B117" s="7"/>
      <c r="C117" s="7"/>
      <c r="D117" s="7"/>
      <c r="E117" s="16" t="s">
        <v>222</v>
      </c>
      <c r="F117" s="16" t="s">
        <v>225</v>
      </c>
      <c r="G117" s="18">
        <v>45661</v>
      </c>
      <c r="H117" s="16">
        <v>3</v>
      </c>
      <c r="I117" s="16" t="s">
        <v>32</v>
      </c>
      <c r="J117" s="16" t="s">
        <v>33</v>
      </c>
      <c r="K117" s="16" t="s">
        <v>34</v>
      </c>
      <c r="L117" s="16" t="s">
        <v>41</v>
      </c>
      <c r="M117" s="16" t="s">
        <v>35</v>
      </c>
      <c r="N117" s="16" t="s">
        <v>200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1.25" customHeight="1">
      <c r="A118" s="7"/>
      <c r="B118" s="7"/>
      <c r="C118" s="7"/>
      <c r="D118" s="7"/>
      <c r="E118" s="16" t="s">
        <v>226</v>
      </c>
      <c r="F118" s="16" t="s">
        <v>227</v>
      </c>
      <c r="G118" s="18">
        <v>45661</v>
      </c>
      <c r="H118" s="16">
        <v>3</v>
      </c>
      <c r="I118" s="16" t="s">
        <v>32</v>
      </c>
      <c r="J118" s="16" t="s">
        <v>33</v>
      </c>
      <c r="K118" s="16" t="s">
        <v>34</v>
      </c>
      <c r="L118" s="16" t="s">
        <v>224</v>
      </c>
      <c r="M118" s="16" t="s">
        <v>35</v>
      </c>
      <c r="N118" s="16" t="s">
        <v>200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1.25" customHeight="1">
      <c r="A119" s="7"/>
      <c r="B119" s="7"/>
      <c r="C119" s="7"/>
      <c r="D119" s="7"/>
      <c r="E119" s="16" t="s">
        <v>226</v>
      </c>
      <c r="F119" s="16" t="s">
        <v>228</v>
      </c>
      <c r="G119" s="18">
        <v>45660</v>
      </c>
      <c r="H119" s="16">
        <v>3</v>
      </c>
      <c r="I119" s="16" t="s">
        <v>32</v>
      </c>
      <c r="J119" s="16" t="s">
        <v>33</v>
      </c>
      <c r="K119" s="16" t="s">
        <v>34</v>
      </c>
      <c r="L119" s="16" t="s">
        <v>38</v>
      </c>
      <c r="M119" s="16" t="s">
        <v>35</v>
      </c>
      <c r="N119" s="16" t="s">
        <v>200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1.25" customHeight="1">
      <c r="A120" s="7"/>
      <c r="B120" s="7"/>
      <c r="C120" s="7"/>
      <c r="D120" s="7"/>
      <c r="E120" s="16" t="s">
        <v>226</v>
      </c>
      <c r="F120" s="16" t="s">
        <v>229</v>
      </c>
      <c r="G120" s="18">
        <v>45660</v>
      </c>
      <c r="H120" s="16">
        <v>3</v>
      </c>
      <c r="I120" s="16" t="s">
        <v>32</v>
      </c>
      <c r="J120" s="16" t="s">
        <v>33</v>
      </c>
      <c r="K120" s="16" t="s">
        <v>34</v>
      </c>
      <c r="L120" s="16" t="s">
        <v>48</v>
      </c>
      <c r="M120" s="16" t="s">
        <v>35</v>
      </c>
      <c r="N120" s="16" t="s">
        <v>200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1.25" customHeight="1">
      <c r="A121" s="7"/>
      <c r="B121" s="7"/>
      <c r="C121" s="7"/>
      <c r="D121" s="7"/>
      <c r="E121" s="16" t="s">
        <v>226</v>
      </c>
      <c r="F121" s="16" t="s">
        <v>230</v>
      </c>
      <c r="G121" s="18">
        <v>45660</v>
      </c>
      <c r="H121" s="16">
        <v>3</v>
      </c>
      <c r="I121" s="16" t="s">
        <v>32</v>
      </c>
      <c r="J121" s="16" t="s">
        <v>33</v>
      </c>
      <c r="K121" s="16" t="s">
        <v>34</v>
      </c>
      <c r="L121" s="16" t="s">
        <v>48</v>
      </c>
      <c r="M121" s="16" t="s">
        <v>35</v>
      </c>
      <c r="N121" s="16" t="s">
        <v>200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1.25" customHeight="1">
      <c r="A122" s="7"/>
      <c r="B122" s="7"/>
      <c r="C122" s="7"/>
      <c r="D122" s="7"/>
      <c r="E122" s="16" t="s">
        <v>226</v>
      </c>
      <c r="F122" s="16" t="s">
        <v>131</v>
      </c>
      <c r="G122" s="18">
        <v>45661</v>
      </c>
      <c r="H122" s="16">
        <v>3</v>
      </c>
      <c r="I122" s="16" t="s">
        <v>32</v>
      </c>
      <c r="J122" s="16" t="s">
        <v>33</v>
      </c>
      <c r="K122" s="16" t="s">
        <v>34</v>
      </c>
      <c r="L122" s="16" t="s">
        <v>41</v>
      </c>
      <c r="M122" s="16" t="s">
        <v>35</v>
      </c>
      <c r="N122" s="16" t="s">
        <v>200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1.25" customHeight="1">
      <c r="A123" s="16"/>
      <c r="B123" s="7"/>
      <c r="C123" s="7"/>
      <c r="D123" s="7"/>
      <c r="E123" s="16" t="s">
        <v>231</v>
      </c>
      <c r="F123" s="16" t="s">
        <v>232</v>
      </c>
      <c r="G123" s="18">
        <v>45663</v>
      </c>
      <c r="H123" s="16">
        <v>3</v>
      </c>
      <c r="I123" s="16" t="s">
        <v>32</v>
      </c>
      <c r="J123" s="16" t="s">
        <v>33</v>
      </c>
      <c r="K123" s="16" t="s">
        <v>34</v>
      </c>
      <c r="L123" s="16" t="s">
        <v>41</v>
      </c>
      <c r="M123" s="16" t="s">
        <v>35</v>
      </c>
      <c r="N123" s="16" t="s">
        <v>200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1.25" customHeight="1">
      <c r="A124" s="7"/>
      <c r="B124" s="7"/>
      <c r="C124" s="7"/>
      <c r="D124" s="7"/>
      <c r="E124" s="16" t="s">
        <v>233</v>
      </c>
      <c r="F124" s="16" t="s">
        <v>234</v>
      </c>
      <c r="G124" s="18">
        <v>45663</v>
      </c>
      <c r="H124" s="16">
        <v>3</v>
      </c>
      <c r="I124" s="16" t="s">
        <v>32</v>
      </c>
      <c r="J124" s="16" t="s">
        <v>33</v>
      </c>
      <c r="K124" s="16" t="s">
        <v>34</v>
      </c>
      <c r="L124" s="16" t="s">
        <v>224</v>
      </c>
      <c r="M124" s="16" t="s">
        <v>35</v>
      </c>
      <c r="N124" s="16" t="s">
        <v>200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1.25" customHeight="1">
      <c r="A125" s="30"/>
      <c r="B125" s="7"/>
      <c r="C125" s="7"/>
      <c r="D125" s="16"/>
      <c r="E125" s="16" t="s">
        <v>235</v>
      </c>
      <c r="F125" s="16" t="s">
        <v>236</v>
      </c>
      <c r="G125" s="18">
        <v>45660</v>
      </c>
      <c r="H125" s="16">
        <v>1</v>
      </c>
      <c r="I125" s="16" t="s">
        <v>45</v>
      </c>
      <c r="J125" s="16" t="s">
        <v>33</v>
      </c>
      <c r="K125" s="16" t="s">
        <v>34</v>
      </c>
      <c r="L125" s="16" t="s">
        <v>237</v>
      </c>
      <c r="M125" s="16" t="s">
        <v>35</v>
      </c>
      <c r="N125" s="16" t="s">
        <v>238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1.25" customHeight="1">
      <c r="A126" s="30"/>
      <c r="B126" s="7"/>
      <c r="C126" s="7"/>
      <c r="D126" s="16"/>
      <c r="E126" s="16" t="s">
        <v>235</v>
      </c>
      <c r="F126" s="16" t="s">
        <v>239</v>
      </c>
      <c r="G126" s="18">
        <v>45660</v>
      </c>
      <c r="H126" s="16">
        <v>1</v>
      </c>
      <c r="I126" s="16" t="s">
        <v>32</v>
      </c>
      <c r="J126" s="16" t="s">
        <v>33</v>
      </c>
      <c r="K126" s="16" t="s">
        <v>34</v>
      </c>
      <c r="L126" s="16" t="s">
        <v>240</v>
      </c>
      <c r="M126" s="16" t="s">
        <v>35</v>
      </c>
      <c r="N126" s="16" t="s">
        <v>238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1.25" customHeight="1">
      <c r="A127" s="30"/>
      <c r="B127" s="7"/>
      <c r="C127" s="7"/>
      <c r="D127" s="16"/>
      <c r="E127" s="16" t="s">
        <v>241</v>
      </c>
      <c r="F127" s="16" t="s">
        <v>242</v>
      </c>
      <c r="G127" s="18">
        <v>45660</v>
      </c>
      <c r="H127" s="16">
        <v>1</v>
      </c>
      <c r="I127" s="16" t="s">
        <v>32</v>
      </c>
      <c r="J127" s="16" t="s">
        <v>33</v>
      </c>
      <c r="K127" s="16" t="s">
        <v>34</v>
      </c>
      <c r="L127" s="16" t="s">
        <v>243</v>
      </c>
      <c r="M127" s="16" t="s">
        <v>35</v>
      </c>
      <c r="N127" s="16" t="s">
        <v>238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1.25" customHeight="1">
      <c r="A128" s="30"/>
      <c r="B128" s="7"/>
      <c r="C128" s="7"/>
      <c r="D128" s="16"/>
      <c r="E128" s="16" t="s">
        <v>244</v>
      </c>
      <c r="F128" s="16" t="s">
        <v>245</v>
      </c>
      <c r="G128" s="18">
        <v>45660</v>
      </c>
      <c r="H128" s="16">
        <v>1</v>
      </c>
      <c r="I128" s="16" t="s">
        <v>32</v>
      </c>
      <c r="J128" s="16" t="s">
        <v>33</v>
      </c>
      <c r="K128" s="16" t="s">
        <v>34</v>
      </c>
      <c r="L128" s="16" t="s">
        <v>246</v>
      </c>
      <c r="M128" s="16" t="s">
        <v>35</v>
      </c>
      <c r="N128" s="16" t="s">
        <v>238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1.25" customHeight="1">
      <c r="A129" s="30"/>
      <c r="B129" s="7"/>
      <c r="C129" s="7"/>
      <c r="D129" s="16"/>
      <c r="E129" s="16" t="s">
        <v>247</v>
      </c>
      <c r="F129" s="16" t="s">
        <v>248</v>
      </c>
      <c r="G129" s="18">
        <v>45660</v>
      </c>
      <c r="H129" s="16">
        <v>1</v>
      </c>
      <c r="I129" s="16" t="s">
        <v>32</v>
      </c>
      <c r="J129" s="16" t="s">
        <v>33</v>
      </c>
      <c r="K129" s="16" t="s">
        <v>34</v>
      </c>
      <c r="L129" s="16" t="s">
        <v>249</v>
      </c>
      <c r="M129" s="16" t="s">
        <v>35</v>
      </c>
      <c r="N129" s="16" t="s">
        <v>238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1.25" customHeight="1">
      <c r="A130" s="30"/>
      <c r="B130" s="7"/>
      <c r="C130" s="7"/>
      <c r="D130" s="16"/>
      <c r="E130" s="16" t="s">
        <v>250</v>
      </c>
      <c r="F130" s="16" t="s">
        <v>251</v>
      </c>
      <c r="G130" s="18">
        <v>45660</v>
      </c>
      <c r="H130" s="16">
        <v>1</v>
      </c>
      <c r="I130" s="16" t="s">
        <v>32</v>
      </c>
      <c r="J130" s="16" t="s">
        <v>33</v>
      </c>
      <c r="K130" s="16" t="s">
        <v>34</v>
      </c>
      <c r="L130" s="16" t="s">
        <v>252</v>
      </c>
      <c r="M130" s="16" t="s">
        <v>35</v>
      </c>
      <c r="N130" s="16" t="s">
        <v>238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1.25" customHeight="1">
      <c r="A131" s="30"/>
      <c r="B131" s="7"/>
      <c r="C131" s="7"/>
      <c r="D131" s="16"/>
      <c r="E131" s="16" t="s">
        <v>253</v>
      </c>
      <c r="F131" s="16" t="s">
        <v>254</v>
      </c>
      <c r="G131" s="18">
        <v>45660</v>
      </c>
      <c r="H131" s="16">
        <v>1</v>
      </c>
      <c r="I131" s="16" t="s">
        <v>32</v>
      </c>
      <c r="J131" s="16" t="s">
        <v>33</v>
      </c>
      <c r="K131" s="16" t="s">
        <v>34</v>
      </c>
      <c r="L131" s="16" t="s">
        <v>255</v>
      </c>
      <c r="M131" s="16" t="s">
        <v>35</v>
      </c>
      <c r="N131" s="16" t="s">
        <v>238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1.25" customHeight="1">
      <c r="A132" s="30"/>
      <c r="B132" s="7"/>
      <c r="C132" s="7"/>
      <c r="D132" s="16"/>
      <c r="E132" s="16" t="s">
        <v>256</v>
      </c>
      <c r="F132" s="16" t="s">
        <v>257</v>
      </c>
      <c r="G132" s="18">
        <v>45660</v>
      </c>
      <c r="H132" s="16">
        <v>1</v>
      </c>
      <c r="I132" s="16" t="s">
        <v>32</v>
      </c>
      <c r="J132" s="16" t="s">
        <v>33</v>
      </c>
      <c r="K132" s="16" t="s">
        <v>34</v>
      </c>
      <c r="L132" s="16" t="s">
        <v>258</v>
      </c>
      <c r="M132" s="16" t="s">
        <v>35</v>
      </c>
      <c r="N132" s="16" t="s">
        <v>238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1.25" customHeight="1">
      <c r="A133" s="30"/>
      <c r="B133" s="7"/>
      <c r="C133" s="7"/>
      <c r="D133" s="16"/>
      <c r="E133" s="16" t="s">
        <v>256</v>
      </c>
      <c r="F133" s="16" t="s">
        <v>259</v>
      </c>
      <c r="G133" s="18">
        <v>45660</v>
      </c>
      <c r="H133" s="16">
        <v>1</v>
      </c>
      <c r="I133" s="16" t="s">
        <v>32</v>
      </c>
      <c r="J133" s="16" t="s">
        <v>33</v>
      </c>
      <c r="K133" s="16" t="s">
        <v>34</v>
      </c>
      <c r="L133" s="16" t="s">
        <v>260</v>
      </c>
      <c r="M133" s="16" t="s">
        <v>35</v>
      </c>
      <c r="N133" s="16" t="s">
        <v>238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1.25" customHeight="1">
      <c r="A134" s="30"/>
      <c r="B134" s="7"/>
      <c r="C134" s="7"/>
      <c r="D134" s="16"/>
      <c r="E134" s="16" t="s">
        <v>261</v>
      </c>
      <c r="F134" s="16" t="s">
        <v>262</v>
      </c>
      <c r="G134" s="18">
        <v>45660</v>
      </c>
      <c r="H134" s="16">
        <v>1</v>
      </c>
      <c r="I134" s="16" t="s">
        <v>45</v>
      </c>
      <c r="J134" s="16" t="s">
        <v>33</v>
      </c>
      <c r="K134" s="16" t="s">
        <v>34</v>
      </c>
      <c r="L134" s="16" t="s">
        <v>263</v>
      </c>
      <c r="M134" s="16" t="s">
        <v>35</v>
      </c>
      <c r="N134" s="16" t="s">
        <v>238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1.25" customHeight="1">
      <c r="A135" s="30"/>
      <c r="B135" s="7"/>
      <c r="C135" s="7"/>
      <c r="D135" s="16"/>
      <c r="E135" s="16" t="s">
        <v>264</v>
      </c>
      <c r="F135" s="16" t="s">
        <v>265</v>
      </c>
      <c r="G135" s="18">
        <v>45660</v>
      </c>
      <c r="H135" s="16">
        <v>1</v>
      </c>
      <c r="I135" s="16" t="s">
        <v>32</v>
      </c>
      <c r="J135" s="16" t="s">
        <v>33</v>
      </c>
      <c r="K135" s="16" t="s">
        <v>34</v>
      </c>
      <c r="L135" s="16" t="s">
        <v>255</v>
      </c>
      <c r="M135" s="16" t="s">
        <v>35</v>
      </c>
      <c r="N135" s="16" t="s">
        <v>238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1.25" customHeight="1">
      <c r="A136" s="30"/>
      <c r="B136" s="7"/>
      <c r="C136" s="7"/>
      <c r="D136" s="16"/>
      <c r="E136" s="16" t="s">
        <v>266</v>
      </c>
      <c r="F136" s="16" t="s">
        <v>267</v>
      </c>
      <c r="G136" s="18">
        <v>45660</v>
      </c>
      <c r="H136" s="16">
        <v>1</v>
      </c>
      <c r="I136" s="16" t="s">
        <v>32</v>
      </c>
      <c r="J136" s="16" t="s">
        <v>33</v>
      </c>
      <c r="K136" s="16" t="s">
        <v>34</v>
      </c>
      <c r="L136" s="16" t="s">
        <v>255</v>
      </c>
      <c r="M136" s="16" t="s">
        <v>35</v>
      </c>
      <c r="N136" s="16" t="s">
        <v>238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1.25" customHeight="1">
      <c r="A137" s="30"/>
      <c r="B137" s="7"/>
      <c r="C137" s="7"/>
      <c r="D137" s="16"/>
      <c r="E137" s="16" t="s">
        <v>264</v>
      </c>
      <c r="F137" s="16" t="s">
        <v>268</v>
      </c>
      <c r="G137" s="18">
        <v>45660</v>
      </c>
      <c r="H137" s="16">
        <v>1</v>
      </c>
      <c r="I137" s="16" t="s">
        <v>45</v>
      </c>
      <c r="J137" s="16" t="s">
        <v>33</v>
      </c>
      <c r="K137" s="16" t="s">
        <v>34</v>
      </c>
      <c r="L137" s="16" t="s">
        <v>269</v>
      </c>
      <c r="M137" s="16" t="s">
        <v>35</v>
      </c>
      <c r="N137" s="16" t="s">
        <v>238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1.25" customHeight="1">
      <c r="A138" s="30"/>
      <c r="B138" s="7"/>
      <c r="C138" s="7"/>
      <c r="D138" s="16"/>
      <c r="E138" s="16" t="s">
        <v>261</v>
      </c>
      <c r="F138" s="16" t="s">
        <v>270</v>
      </c>
      <c r="G138" s="18">
        <v>45662</v>
      </c>
      <c r="H138" s="16">
        <v>1</v>
      </c>
      <c r="I138" s="16" t="s">
        <v>45</v>
      </c>
      <c r="J138" s="16" t="s">
        <v>33</v>
      </c>
      <c r="K138" s="16" t="s">
        <v>34</v>
      </c>
      <c r="L138" s="16" t="s">
        <v>271</v>
      </c>
      <c r="M138" s="16" t="s">
        <v>35</v>
      </c>
      <c r="N138" s="16" t="s">
        <v>238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1.25" customHeight="1">
      <c r="A139" s="30"/>
      <c r="B139" s="7"/>
      <c r="C139" s="7"/>
      <c r="D139" s="16"/>
      <c r="E139" s="16" t="s">
        <v>261</v>
      </c>
      <c r="F139" s="16" t="s">
        <v>272</v>
      </c>
      <c r="G139" s="18">
        <v>45662</v>
      </c>
      <c r="H139" s="16">
        <v>1</v>
      </c>
      <c r="I139" s="16" t="s">
        <v>32</v>
      </c>
      <c r="J139" s="16" t="s">
        <v>33</v>
      </c>
      <c r="K139" s="16" t="s">
        <v>34</v>
      </c>
      <c r="L139" s="16" t="s">
        <v>273</v>
      </c>
      <c r="M139" s="16" t="s">
        <v>35</v>
      </c>
      <c r="N139" s="16" t="s">
        <v>238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1.25" customHeight="1">
      <c r="A140" s="30"/>
      <c r="B140" s="7"/>
      <c r="C140" s="7"/>
      <c r="D140" s="16"/>
      <c r="E140" s="16" t="s">
        <v>274</v>
      </c>
      <c r="F140" s="16" t="s">
        <v>275</v>
      </c>
      <c r="G140" s="18">
        <v>45662</v>
      </c>
      <c r="H140" s="16">
        <v>1</v>
      </c>
      <c r="I140" s="16" t="s">
        <v>32</v>
      </c>
      <c r="J140" s="16" t="s">
        <v>33</v>
      </c>
      <c r="K140" s="16" t="s">
        <v>34</v>
      </c>
      <c r="L140" s="16" t="s">
        <v>263</v>
      </c>
      <c r="M140" s="16" t="s">
        <v>35</v>
      </c>
      <c r="N140" s="16" t="s">
        <v>238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1.25" customHeight="1">
      <c r="A141" s="30"/>
      <c r="B141" s="7"/>
      <c r="C141" s="7"/>
      <c r="D141" s="16"/>
      <c r="E141" s="16" t="s">
        <v>276</v>
      </c>
      <c r="F141" s="31" t="s">
        <v>277</v>
      </c>
      <c r="G141" s="18">
        <v>45662</v>
      </c>
      <c r="H141" s="16">
        <v>1</v>
      </c>
      <c r="I141" s="16" t="s">
        <v>32</v>
      </c>
      <c r="J141" s="16" t="s">
        <v>33</v>
      </c>
      <c r="K141" s="16" t="s">
        <v>34</v>
      </c>
      <c r="L141" s="16" t="s">
        <v>278</v>
      </c>
      <c r="M141" s="16" t="s">
        <v>35</v>
      </c>
      <c r="N141" s="16" t="s">
        <v>238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</sheetData>
  <mergeCells count="2">
    <mergeCell ref="I7:N7"/>
    <mergeCell ref="A7:H7"/>
  </mergeCells>
  <phoneticPr fontId="9" type="noConversion"/>
  <pageMargins left="0.78749999999999998" right="0.78749999999999998" top="0.78749999999999998" bottom="0.78749999999999998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필요내용</vt:lpstr>
      <vt:lpstr>4.결함대장(원본)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2025-01-08T06:47:18Z</dcterms:modified>
</cp:coreProperties>
</file>
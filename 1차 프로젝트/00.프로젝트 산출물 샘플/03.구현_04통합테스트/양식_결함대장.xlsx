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수업중(삭제불가!!)\산출물_최종프로젝트\"/>
    </mc:Choice>
  </mc:AlternateContent>
  <bookViews>
    <workbookView xWindow="0" yWindow="0" windowWidth="28800" windowHeight="12390"/>
  </bookViews>
  <sheets>
    <sheet name="필요내용" sheetId="2" r:id="rId1"/>
    <sheet name="4.결함대장(원본)" sheetId="1" r:id="rId2"/>
  </sheets>
  <calcPr calcId="162913"/>
</workbook>
</file>

<file path=xl/calcChain.xml><?xml version="1.0" encoding="utf-8"?>
<calcChain xmlns="http://schemas.openxmlformats.org/spreadsheetml/2006/main">
  <c r="H4" i="2" l="1"/>
  <c r="F4" i="2"/>
  <c r="D4" i="2"/>
  <c r="H3" i="2"/>
  <c r="F3" i="2"/>
  <c r="D3" i="2"/>
  <c r="J2" i="2"/>
  <c r="H2" i="2"/>
  <c r="F2" i="2"/>
  <c r="D2" i="2"/>
  <c r="J1" i="2"/>
  <c r="D1" i="2"/>
  <c r="L4" i="1"/>
  <c r="J4" i="1"/>
  <c r="H4" i="1"/>
  <c r="L3" i="1"/>
  <c r="J3" i="1"/>
  <c r="H3" i="1"/>
  <c r="N2" i="1"/>
  <c r="L2" i="1"/>
  <c r="J2" i="1"/>
  <c r="H2" i="1"/>
  <c r="N1" i="1"/>
  <c r="H1" i="1"/>
  <c r="D5" i="2" l="1"/>
  <c r="H5" i="2"/>
  <c r="F5" i="2"/>
  <c r="H5" i="1"/>
  <c r="J5" i="1"/>
  <c r="L5" i="1"/>
</calcChain>
</file>

<file path=xl/sharedStrings.xml><?xml version="1.0" encoding="utf-8"?>
<sst xmlns="http://schemas.openxmlformats.org/spreadsheetml/2006/main" count="58" uniqueCount="30">
  <si>
    <t>2.  결함대장_단위업무명</t>
  </si>
  <si>
    <t>요청건수</t>
  </si>
  <si>
    <t>확인건수</t>
  </si>
  <si>
    <t>결함건수</t>
  </si>
  <si>
    <t>결함조치건수</t>
  </si>
  <si>
    <t>반영예정건수</t>
  </si>
  <si>
    <t>반영조치건수</t>
  </si>
  <si>
    <t>개선사항건수</t>
  </si>
  <si>
    <t>개선사항조치건수</t>
  </si>
  <si>
    <t>미반영예정건수</t>
  </si>
  <si>
    <t>추가사항건수</t>
  </si>
  <si>
    <t>추가사항조치건수</t>
  </si>
  <si>
    <t>보류건수</t>
  </si>
  <si>
    <t>합계</t>
  </si>
  <si>
    <t>사업팀/개발팀/지원위원회</t>
  </si>
  <si>
    <t>수행팀</t>
  </si>
  <si>
    <t>테스트시나리오ID</t>
  </si>
  <si>
    <t>테스트시나리오명</t>
  </si>
  <si>
    <t>모듈</t>
  </si>
  <si>
    <t>차수</t>
  </si>
  <si>
    <t>메뉴명</t>
  </si>
  <si>
    <t>결함내용</t>
  </si>
  <si>
    <t>테스트시행일자</t>
  </si>
  <si>
    <t>우선순위</t>
  </si>
  <si>
    <t>결함유형</t>
  </si>
  <si>
    <t>반영여부</t>
  </si>
  <si>
    <t>조치예정일</t>
  </si>
  <si>
    <t>조치내용</t>
  </si>
  <si>
    <t>조치여부</t>
  </si>
  <si>
    <t>조치담당자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</si>
</sst>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년 &quot;m&quot;월 &quot;d&quot;일&quot;"/>
    <numFmt numFmtId="177" formatCode="yyyy&quot;년&quot;\ m&quot;월&quot;\ d&quot;일&quot;"/>
  </numFmts>
  <fonts count="10">
    <font>
      <sz val="10"/>
      <color rgb="FF000000"/>
      <name val="Malgun Gothic"/>
      <scheme val="minor"/>
    </font>
    <font>
      <b/>
      <sz val="9"/>
      <color rgb="FF000000"/>
      <name val="Gulimche"/>
      <family val="3"/>
      <charset val="129"/>
    </font>
    <font>
      <sz val="9"/>
      <color rgb="FF000000"/>
      <name val="Gulimche"/>
      <family val="3"/>
      <charset val="129"/>
    </font>
    <font>
      <sz val="9"/>
      <color rgb="FF000000"/>
      <name val="Dotum"/>
      <family val="3"/>
      <charset val="129"/>
    </font>
    <font>
      <sz val="10"/>
      <name val="Malgun Gothic"/>
      <family val="3"/>
      <charset val="129"/>
    </font>
    <font>
      <sz val="9"/>
      <color theme="1"/>
      <name val="Dotum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Dotum"/>
      <family val="3"/>
      <charset val="129"/>
    </font>
    <font>
      <sz val="10"/>
      <color theme="1"/>
      <name val="Malgun Gothic"/>
      <family val="3"/>
      <charset val="129"/>
      <scheme val="minor"/>
    </font>
    <font>
      <sz val="8"/>
      <name val="Malgun Gothic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0" fontId="8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/>
    <xf numFmtId="0" fontId="2" fillId="0" borderId="0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177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176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6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3"/>
  <sheetViews>
    <sheetView tabSelected="1" zoomScaleNormal="100" workbookViewId="0">
      <pane ySplit="7" topLeftCell="A8" activePane="bottomLeft" state="frozen"/>
      <selection pane="bottomLeft" activeCell="B12" sqref="B12"/>
    </sheetView>
  </sheetViews>
  <sheetFormatPr defaultColWidth="14.42578125" defaultRowHeight="13.5"/>
  <cols>
    <col min="1" max="1" width="25.28515625" customWidth="1"/>
    <col min="2" max="2" width="101.85546875" customWidth="1"/>
    <col min="3" max="3" width="17.5703125" customWidth="1"/>
    <col min="4" max="4" width="9.140625" bestFit="1" customWidth="1"/>
    <col min="5" max="5" width="16.85546875" customWidth="1"/>
    <col min="6" max="6" width="9.140625" bestFit="1" customWidth="1"/>
    <col min="7" max="7" width="14.140625" bestFit="1" customWidth="1"/>
    <col min="8" max="8" width="17.5703125" customWidth="1"/>
    <col min="9" max="9" width="12.28515625" bestFit="1" customWidth="1"/>
    <col min="10" max="10" width="11.140625" bestFit="1" customWidth="1"/>
    <col min="11" max="26" width="8.7109375" customWidth="1"/>
  </cols>
  <sheetData>
    <row r="1" spans="1:26" ht="11.25" customHeight="1">
      <c r="A1" s="19"/>
      <c r="B1" s="18"/>
      <c r="C1" s="3" t="s">
        <v>1</v>
      </c>
      <c r="D1" s="4">
        <f>COUNTA(D9:D287)</f>
        <v>0</v>
      </c>
      <c r="E1" s="4"/>
      <c r="F1" s="4"/>
      <c r="G1" s="5"/>
      <c r="H1" s="6"/>
      <c r="I1" s="5" t="s">
        <v>2</v>
      </c>
      <c r="J1" s="6">
        <f>COUNTA(#REF!)</f>
        <v>1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1.25" customHeight="1">
      <c r="A2" s="19"/>
      <c r="B2" s="18"/>
      <c r="C2" s="3" t="s">
        <v>3</v>
      </c>
      <c r="D2" s="4">
        <f>COUNTIFS(E9:E297,"결함")</f>
        <v>0</v>
      </c>
      <c r="E2" s="5" t="s">
        <v>4</v>
      </c>
      <c r="F2" s="4">
        <f ca="1">COUNTIFS(E8:E295,"결함",I8:I295,"&lt;="&amp;TODAY())</f>
        <v>0</v>
      </c>
      <c r="G2" s="5" t="s">
        <v>5</v>
      </c>
      <c r="H2" s="6">
        <f>COUNTIFS(F9:F313,"반영")</f>
        <v>0</v>
      </c>
      <c r="I2" s="5" t="s">
        <v>6</v>
      </c>
      <c r="J2" s="6">
        <f ca="1">COUNTIFS(F8:F314,"반영",I8:I314,"&lt;="&amp;TODAY())</f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1.25" customHeight="1">
      <c r="A3" s="19"/>
      <c r="B3" s="18"/>
      <c r="C3" s="3" t="s">
        <v>7</v>
      </c>
      <c r="D3" s="4">
        <f>COUNTIFS(E9:E297,"개선사항")</f>
        <v>0</v>
      </c>
      <c r="E3" s="5" t="s">
        <v>8</v>
      </c>
      <c r="F3" s="4">
        <f ca="1">COUNTIFS(E8:E295,"개선사항",I8:I295,"&lt;="&amp;TODAY())</f>
        <v>0</v>
      </c>
      <c r="G3" s="5" t="s">
        <v>9</v>
      </c>
      <c r="H3" s="6">
        <f>COUNTIFS(F9:F313,"미반영")</f>
        <v>0</v>
      </c>
      <c r="I3" s="4"/>
      <c r="J3" s="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1.25" customHeight="1">
      <c r="A4" s="19"/>
      <c r="B4" s="18"/>
      <c r="C4" s="3" t="s">
        <v>10</v>
      </c>
      <c r="D4" s="4">
        <f>COUNTIFS(E9:E297,"추가사항")</f>
        <v>0</v>
      </c>
      <c r="E4" s="5" t="s">
        <v>11</v>
      </c>
      <c r="F4" s="4">
        <f ca="1">COUNTIFS(E8:E295,"추가사항",I8:I295,"&lt;="&amp;TODAY())</f>
        <v>0</v>
      </c>
      <c r="G4" s="5" t="s">
        <v>12</v>
      </c>
      <c r="H4" s="6">
        <f>COUNTIFS(F9:F314,"보류")</f>
        <v>0</v>
      </c>
      <c r="I4" s="4"/>
      <c r="J4" s="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1.25" customHeight="1">
      <c r="A5" s="19"/>
      <c r="B5" s="19"/>
      <c r="C5" s="3" t="s">
        <v>13</v>
      </c>
      <c r="D5" s="4">
        <f>SUM(D2:D4)</f>
        <v>0</v>
      </c>
      <c r="E5" s="4" t="s">
        <v>13</v>
      </c>
      <c r="F5" s="4">
        <f ca="1">SUM(F2:F4)</f>
        <v>0</v>
      </c>
      <c r="G5" s="4" t="s">
        <v>13</v>
      </c>
      <c r="H5" s="6">
        <f>SUM(H1:H4)</f>
        <v>0</v>
      </c>
      <c r="I5" s="4"/>
      <c r="J5" s="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1.25" customHeight="1">
      <c r="A6" s="19"/>
      <c r="B6" s="18"/>
      <c r="C6" s="20"/>
      <c r="D6" s="8"/>
      <c r="E6" s="8"/>
      <c r="F6" s="8"/>
      <c r="G6" s="8"/>
      <c r="H6" s="2"/>
      <c r="I6" s="8"/>
      <c r="J6" s="2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1.25" customHeight="1">
      <c r="A7" s="27"/>
      <c r="B7" s="27"/>
      <c r="C7" s="27"/>
      <c r="D7" s="27"/>
      <c r="E7" s="28" t="s">
        <v>15</v>
      </c>
      <c r="F7" s="27"/>
      <c r="G7" s="27"/>
      <c r="H7" s="27"/>
      <c r="I7" s="27"/>
      <c r="J7" s="2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1.25" customHeight="1">
      <c r="A8" s="22" t="s">
        <v>20</v>
      </c>
      <c r="B8" s="22" t="s">
        <v>21</v>
      </c>
      <c r="C8" s="23" t="s">
        <v>22</v>
      </c>
      <c r="D8" s="24" t="s">
        <v>23</v>
      </c>
      <c r="E8" s="25" t="s">
        <v>24</v>
      </c>
      <c r="F8" s="25" t="s">
        <v>25</v>
      </c>
      <c r="G8" s="25" t="s">
        <v>26</v>
      </c>
      <c r="H8" s="26" t="s">
        <v>27</v>
      </c>
      <c r="I8" s="26" t="s">
        <v>28</v>
      </c>
      <c r="J8" s="26" t="s">
        <v>29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s="42" customFormat="1">
      <c r="A9" s="53"/>
      <c r="B9" s="54"/>
      <c r="C9" s="55"/>
      <c r="D9" s="56"/>
      <c r="E9" s="57"/>
      <c r="F9" s="56"/>
      <c r="G9" s="56"/>
      <c r="H9" s="53"/>
      <c r="I9" s="56"/>
      <c r="J9" s="56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s="42" customFormat="1">
      <c r="A10" s="53"/>
      <c r="B10" s="54"/>
      <c r="C10" s="55"/>
      <c r="D10" s="56"/>
      <c r="E10" s="57"/>
      <c r="F10" s="56"/>
      <c r="G10" s="56"/>
      <c r="H10" s="53"/>
      <c r="I10" s="56"/>
      <c r="J10" s="56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s="42" customFormat="1">
      <c r="A11" s="53"/>
      <c r="B11" s="54"/>
      <c r="C11" s="55"/>
      <c r="D11" s="56"/>
      <c r="E11" s="57"/>
      <c r="F11" s="56"/>
      <c r="G11" s="56"/>
      <c r="H11" s="53"/>
      <c r="I11" s="56"/>
      <c r="J11" s="56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s="42" customFormat="1">
      <c r="A12" s="53"/>
      <c r="B12" s="54"/>
      <c r="C12" s="55"/>
      <c r="D12" s="56"/>
      <c r="E12" s="57"/>
      <c r="F12" s="56"/>
      <c r="G12" s="56"/>
      <c r="H12" s="53"/>
      <c r="I12" s="56"/>
      <c r="J12" s="56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s="42" customFormat="1">
      <c r="A13" s="53"/>
      <c r="B13" s="54"/>
      <c r="C13" s="58"/>
      <c r="D13" s="56"/>
      <c r="E13" s="57"/>
      <c r="F13" s="56"/>
      <c r="G13" s="56"/>
      <c r="H13" s="53"/>
      <c r="I13" s="56"/>
      <c r="J13" s="56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s="42" customFormat="1">
      <c r="A14" s="53"/>
      <c r="B14" s="54"/>
      <c r="C14" s="55"/>
      <c r="D14" s="56"/>
      <c r="E14" s="57"/>
      <c r="F14" s="56"/>
      <c r="G14" s="56"/>
      <c r="H14" s="53"/>
      <c r="I14" s="56"/>
      <c r="J14" s="56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s="42" customFormat="1">
      <c r="A15" s="53"/>
      <c r="B15" s="54"/>
      <c r="C15" s="55"/>
      <c r="D15" s="56"/>
      <c r="E15" s="57"/>
      <c r="F15" s="56"/>
      <c r="G15" s="56"/>
      <c r="H15" s="53"/>
      <c r="I15" s="56"/>
      <c r="J15" s="56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s="42" customFormat="1">
      <c r="A16" s="53"/>
      <c r="B16" s="54"/>
      <c r="C16" s="55"/>
      <c r="D16" s="56"/>
      <c r="E16" s="57"/>
      <c r="F16" s="56"/>
      <c r="G16" s="56"/>
      <c r="H16" s="53"/>
      <c r="I16" s="56"/>
      <c r="J16" s="56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s="42" customFormat="1">
      <c r="A17" s="53"/>
      <c r="B17" s="54"/>
      <c r="C17" s="55"/>
      <c r="D17" s="56"/>
      <c r="E17" s="57"/>
      <c r="F17" s="56"/>
      <c r="G17" s="56"/>
      <c r="H17" s="53"/>
      <c r="I17" s="56"/>
      <c r="J17" s="56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s="42" customFormat="1">
      <c r="A18" s="53"/>
      <c r="B18" s="54"/>
      <c r="C18" s="55"/>
      <c r="D18" s="56"/>
      <c r="E18" s="57"/>
      <c r="F18" s="56"/>
      <c r="G18" s="56"/>
      <c r="H18" s="53"/>
      <c r="I18" s="56"/>
      <c r="J18" s="56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s="42" customFormat="1">
      <c r="A19" s="53"/>
      <c r="B19" s="54"/>
      <c r="C19" s="55"/>
      <c r="D19" s="56"/>
      <c r="E19" s="57"/>
      <c r="F19" s="56"/>
      <c r="G19" s="56"/>
      <c r="H19" s="53"/>
      <c r="I19" s="56"/>
      <c r="J19" s="56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s="42" customFormat="1">
      <c r="A20" s="53"/>
      <c r="B20" s="54"/>
      <c r="C20" s="55"/>
      <c r="D20" s="56"/>
      <c r="E20" s="57"/>
      <c r="F20" s="56"/>
      <c r="G20" s="56"/>
      <c r="H20" s="53"/>
      <c r="I20" s="56"/>
      <c r="J20" s="56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s="42" customFormat="1">
      <c r="A21" s="53"/>
      <c r="B21" s="54"/>
      <c r="C21" s="55"/>
      <c r="D21" s="56"/>
      <c r="E21" s="57"/>
      <c r="F21" s="56"/>
      <c r="G21" s="56"/>
      <c r="H21" s="53"/>
      <c r="I21" s="56"/>
      <c r="J21" s="56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s="42" customFormat="1">
      <c r="A22" s="53"/>
      <c r="B22" s="54"/>
      <c r="C22" s="55"/>
      <c r="D22" s="56"/>
      <c r="E22" s="57"/>
      <c r="F22" s="56"/>
      <c r="G22" s="56"/>
      <c r="H22" s="53"/>
      <c r="I22" s="56"/>
      <c r="J22" s="56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s="42" customFormat="1">
      <c r="A23" s="53"/>
      <c r="B23" s="54"/>
      <c r="C23" s="55"/>
      <c r="D23" s="56"/>
      <c r="E23" s="57"/>
      <c r="F23" s="56"/>
      <c r="G23" s="56"/>
      <c r="H23" s="53"/>
      <c r="I23" s="56"/>
      <c r="J23" s="56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s="42" customFormat="1">
      <c r="A24" s="53"/>
      <c r="B24" s="54"/>
      <c r="C24" s="55"/>
      <c r="D24" s="56"/>
      <c r="E24" s="57"/>
      <c r="F24" s="56"/>
      <c r="G24" s="56"/>
      <c r="H24" s="53"/>
      <c r="I24" s="56"/>
      <c r="J24" s="56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s="42" customFormat="1">
      <c r="A25" s="53"/>
      <c r="B25" s="54"/>
      <c r="C25" s="55"/>
      <c r="D25" s="56"/>
      <c r="E25" s="57"/>
      <c r="F25" s="56"/>
      <c r="G25" s="56"/>
      <c r="H25" s="53"/>
      <c r="I25" s="56"/>
      <c r="J25" s="56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s="42" customFormat="1">
      <c r="A26" s="53"/>
      <c r="B26" s="54"/>
      <c r="C26" s="55"/>
      <c r="D26" s="56"/>
      <c r="E26" s="57"/>
      <c r="F26" s="56"/>
      <c r="G26" s="56"/>
      <c r="H26" s="53"/>
      <c r="I26" s="56"/>
      <c r="J26" s="56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s="42" customFormat="1">
      <c r="A27" s="53"/>
      <c r="B27" s="54"/>
      <c r="C27" s="55"/>
      <c r="D27" s="56"/>
      <c r="E27" s="57"/>
      <c r="F27" s="56"/>
      <c r="G27" s="56"/>
      <c r="H27" s="53"/>
      <c r="I27" s="56"/>
      <c r="J27" s="56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s="42" customFormat="1">
      <c r="A28" s="53"/>
      <c r="B28" s="54"/>
      <c r="C28" s="55"/>
      <c r="D28" s="56"/>
      <c r="E28" s="57"/>
      <c r="F28" s="56"/>
      <c r="G28" s="56"/>
      <c r="H28" s="53"/>
      <c r="I28" s="56"/>
      <c r="J28" s="56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s="42" customFormat="1">
      <c r="A29" s="53"/>
      <c r="B29" s="54"/>
      <c r="C29" s="55"/>
      <c r="D29" s="56"/>
      <c r="E29" s="57"/>
      <c r="F29" s="56"/>
      <c r="G29" s="56"/>
      <c r="H29" s="53"/>
      <c r="I29" s="56"/>
      <c r="J29" s="56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s="42" customFormat="1">
      <c r="A30" s="53"/>
      <c r="B30" s="59"/>
      <c r="C30" s="55"/>
      <c r="D30" s="56"/>
      <c r="E30" s="56"/>
      <c r="F30" s="56"/>
      <c r="G30" s="56"/>
      <c r="H30" s="53"/>
      <c r="I30" s="56"/>
      <c r="J30" s="56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s="42" customFormat="1">
      <c r="A31" s="53"/>
      <c r="B31" s="59"/>
      <c r="C31" s="55"/>
      <c r="D31" s="56"/>
      <c r="E31" s="56"/>
      <c r="F31" s="56"/>
      <c r="G31" s="56"/>
      <c r="H31" s="53"/>
      <c r="I31" s="56"/>
      <c r="J31" s="56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s="42" customFormat="1">
      <c r="A32" s="53"/>
      <c r="B32" s="59"/>
      <c r="C32" s="55"/>
      <c r="D32" s="56"/>
      <c r="E32" s="56"/>
      <c r="F32" s="56"/>
      <c r="G32" s="56"/>
      <c r="H32" s="53"/>
      <c r="I32" s="56"/>
      <c r="J32" s="56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s="42" customFormat="1">
      <c r="A33" s="53"/>
      <c r="B33" s="59"/>
      <c r="C33" s="55"/>
      <c r="D33" s="56"/>
      <c r="E33" s="56"/>
      <c r="F33" s="56"/>
      <c r="G33" s="56"/>
      <c r="H33" s="53"/>
      <c r="I33" s="56"/>
      <c r="J33" s="56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s="42" customFormat="1">
      <c r="A34" s="53"/>
      <c r="B34" s="60"/>
      <c r="C34" s="55"/>
      <c r="D34" s="56"/>
      <c r="E34" s="56"/>
      <c r="F34" s="56"/>
      <c r="G34" s="56"/>
      <c r="H34" s="53"/>
      <c r="I34" s="56"/>
      <c r="J34" s="56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s="42" customFormat="1">
      <c r="A35" s="53"/>
      <c r="B35" s="59"/>
      <c r="C35" s="55"/>
      <c r="D35" s="56"/>
      <c r="E35" s="56"/>
      <c r="F35" s="56"/>
      <c r="G35" s="56"/>
      <c r="H35" s="53"/>
      <c r="I35" s="56"/>
      <c r="J35" s="56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s="42" customFormat="1">
      <c r="A36" s="53"/>
      <c r="B36" s="59"/>
      <c r="C36" s="55"/>
      <c r="D36" s="56"/>
      <c r="E36" s="56"/>
      <c r="F36" s="56"/>
      <c r="G36" s="56"/>
      <c r="H36" s="53"/>
      <c r="I36" s="56"/>
      <c r="J36" s="56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s="42" customFormat="1">
      <c r="A37" s="53"/>
      <c r="B37" s="59"/>
      <c r="C37" s="55"/>
      <c r="D37" s="56"/>
      <c r="E37" s="56"/>
      <c r="F37" s="56"/>
      <c r="G37" s="56"/>
      <c r="H37" s="53"/>
      <c r="I37" s="56"/>
      <c r="J37" s="56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s="42" customFormat="1">
      <c r="A38" s="53"/>
      <c r="B38" s="59"/>
      <c r="C38" s="55"/>
      <c r="D38" s="56"/>
      <c r="E38" s="56"/>
      <c r="F38" s="56"/>
      <c r="G38" s="56"/>
      <c r="H38" s="53"/>
      <c r="I38" s="56"/>
      <c r="J38" s="56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s="42" customFormat="1">
      <c r="A39" s="53"/>
      <c r="B39" s="59"/>
      <c r="C39" s="55"/>
      <c r="D39" s="56"/>
      <c r="E39" s="56"/>
      <c r="F39" s="56"/>
      <c r="G39" s="56"/>
      <c r="H39" s="53"/>
      <c r="I39" s="56"/>
      <c r="J39" s="56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s="42" customFormat="1">
      <c r="A40" s="53"/>
      <c r="B40" s="59"/>
      <c r="C40" s="55"/>
      <c r="D40" s="56"/>
      <c r="E40" s="56"/>
      <c r="F40" s="56"/>
      <c r="G40" s="56"/>
      <c r="H40" s="53"/>
      <c r="I40" s="56"/>
      <c r="J40" s="5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s="42" customFormat="1">
      <c r="A41" s="53"/>
      <c r="B41" s="59"/>
      <c r="C41" s="55"/>
      <c r="D41" s="56"/>
      <c r="E41" s="56"/>
      <c r="F41" s="56"/>
      <c r="G41" s="56"/>
      <c r="H41" s="53"/>
      <c r="I41" s="56"/>
      <c r="J41" s="56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s="42" customFormat="1">
      <c r="A42" s="53"/>
      <c r="B42" s="59"/>
      <c r="C42" s="55"/>
      <c r="D42" s="56"/>
      <c r="E42" s="56"/>
      <c r="F42" s="56"/>
      <c r="G42" s="56"/>
      <c r="H42" s="53"/>
      <c r="I42" s="56"/>
      <c r="J42" s="56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s="42" customFormat="1">
      <c r="A43" s="53"/>
      <c r="B43" s="59"/>
      <c r="C43" s="55"/>
      <c r="D43" s="56"/>
      <c r="E43" s="56"/>
      <c r="F43" s="56"/>
      <c r="G43" s="56"/>
      <c r="H43" s="53"/>
      <c r="I43" s="56"/>
      <c r="J43" s="56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s="42" customFormat="1">
      <c r="A44" s="53"/>
      <c r="B44" s="59"/>
      <c r="C44" s="55"/>
      <c r="D44" s="56"/>
      <c r="E44" s="56"/>
      <c r="F44" s="56"/>
      <c r="G44" s="56"/>
      <c r="H44" s="53"/>
      <c r="I44" s="56"/>
      <c r="J44" s="56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s="42" customFormat="1">
      <c r="A45" s="53"/>
      <c r="B45" s="59"/>
      <c r="C45" s="55"/>
      <c r="D45" s="56"/>
      <c r="E45" s="56"/>
      <c r="F45" s="56"/>
      <c r="G45" s="56"/>
      <c r="H45" s="53"/>
      <c r="I45" s="56"/>
      <c r="J45" s="56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s="42" customFormat="1">
      <c r="A46" s="53"/>
      <c r="B46" s="59"/>
      <c r="C46" s="55"/>
      <c r="D46" s="56"/>
      <c r="E46" s="56"/>
      <c r="F46" s="56"/>
      <c r="G46" s="56"/>
      <c r="H46" s="53"/>
      <c r="I46" s="56"/>
      <c r="J46" s="56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s="42" customFormat="1">
      <c r="A47" s="53"/>
      <c r="B47" s="59"/>
      <c r="C47" s="55"/>
      <c r="D47" s="56"/>
      <c r="E47" s="56"/>
      <c r="F47" s="56"/>
      <c r="G47" s="56"/>
      <c r="H47" s="53"/>
      <c r="I47" s="56"/>
      <c r="J47" s="56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s="42" customFormat="1">
      <c r="A48" s="53"/>
      <c r="B48" s="59"/>
      <c r="C48" s="55"/>
      <c r="D48" s="56"/>
      <c r="E48" s="56"/>
      <c r="F48" s="56"/>
      <c r="G48" s="56"/>
      <c r="H48" s="53"/>
      <c r="I48" s="56"/>
      <c r="J48" s="56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s="42" customFormat="1">
      <c r="A49" s="53"/>
      <c r="B49" s="59"/>
      <c r="C49" s="55"/>
      <c r="D49" s="56"/>
      <c r="E49" s="56"/>
      <c r="F49" s="56"/>
      <c r="G49" s="56"/>
      <c r="H49" s="53"/>
      <c r="I49" s="56"/>
      <c r="J49" s="56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s="42" customFormat="1">
      <c r="A50" s="53"/>
      <c r="B50" s="59"/>
      <c r="C50" s="55"/>
      <c r="D50" s="56"/>
      <c r="E50" s="56"/>
      <c r="F50" s="56"/>
      <c r="G50" s="56"/>
      <c r="H50" s="53"/>
      <c r="I50" s="56"/>
      <c r="J50" s="56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s="42" customFormat="1">
      <c r="A51" s="53"/>
      <c r="B51" s="59"/>
      <c r="C51" s="55"/>
      <c r="D51" s="56"/>
      <c r="E51" s="56"/>
      <c r="F51" s="56"/>
      <c r="G51" s="56"/>
      <c r="H51" s="53"/>
      <c r="I51" s="56"/>
      <c r="J51" s="56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s="42" customFormat="1">
      <c r="A52" s="53"/>
      <c r="B52" s="59"/>
      <c r="C52" s="55"/>
      <c r="D52" s="56"/>
      <c r="E52" s="56"/>
      <c r="F52" s="56"/>
      <c r="G52" s="56"/>
      <c r="H52" s="53"/>
      <c r="I52" s="56"/>
      <c r="J52" s="5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s="42" customFormat="1">
      <c r="A53" s="53"/>
      <c r="B53" s="59"/>
      <c r="C53" s="55"/>
      <c r="D53" s="56"/>
      <c r="E53" s="56"/>
      <c r="F53" s="56"/>
      <c r="G53" s="56"/>
      <c r="H53" s="53"/>
      <c r="I53" s="56"/>
      <c r="J53" s="56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s="42" customFormat="1">
      <c r="A54" s="53"/>
      <c r="B54" s="59"/>
      <c r="C54" s="55"/>
      <c r="D54" s="56"/>
      <c r="E54" s="56"/>
      <c r="F54" s="56"/>
      <c r="G54" s="56"/>
      <c r="H54" s="53"/>
      <c r="I54" s="56"/>
      <c r="J54" s="56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s="42" customFormat="1">
      <c r="A55" s="53"/>
      <c r="B55" s="59"/>
      <c r="C55" s="55"/>
      <c r="D55" s="56"/>
      <c r="E55" s="56"/>
      <c r="F55" s="56"/>
      <c r="G55" s="56"/>
      <c r="H55" s="53"/>
      <c r="I55" s="56"/>
      <c r="J55" s="56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s="42" customFormat="1">
      <c r="A56" s="53"/>
      <c r="B56" s="59"/>
      <c r="C56" s="55"/>
      <c r="D56" s="56"/>
      <c r="E56" s="56"/>
      <c r="F56" s="56"/>
      <c r="G56" s="56"/>
      <c r="H56" s="53"/>
      <c r="I56" s="56"/>
      <c r="J56" s="56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s="42" customFormat="1">
      <c r="A57" s="53"/>
      <c r="B57" s="59"/>
      <c r="C57" s="55"/>
      <c r="D57" s="56"/>
      <c r="E57" s="56"/>
      <c r="F57" s="56"/>
      <c r="G57" s="56"/>
      <c r="H57" s="53"/>
      <c r="I57" s="56"/>
      <c r="J57" s="56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s="42" customFormat="1">
      <c r="A58" s="53"/>
      <c r="B58" s="59"/>
      <c r="C58" s="55"/>
      <c r="D58" s="56"/>
      <c r="E58" s="56"/>
      <c r="F58" s="56"/>
      <c r="G58" s="56"/>
      <c r="H58" s="53"/>
      <c r="I58" s="56"/>
      <c r="J58" s="56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s="42" customFormat="1">
      <c r="A59" s="53"/>
      <c r="B59" s="59"/>
      <c r="C59" s="55"/>
      <c r="D59" s="56"/>
      <c r="E59" s="56"/>
      <c r="F59" s="56"/>
      <c r="G59" s="56"/>
      <c r="H59" s="53"/>
      <c r="I59" s="56"/>
      <c r="J59" s="56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s="42" customFormat="1">
      <c r="A60" s="53"/>
      <c r="B60" s="59"/>
      <c r="C60" s="55"/>
      <c r="D60" s="56"/>
      <c r="E60" s="56"/>
      <c r="F60" s="56"/>
      <c r="G60" s="56"/>
      <c r="H60" s="53"/>
      <c r="I60" s="56"/>
      <c r="J60" s="56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s="42" customFormat="1">
      <c r="A61" s="53"/>
      <c r="B61" s="59"/>
      <c r="C61" s="55"/>
      <c r="D61" s="56"/>
      <c r="E61" s="56"/>
      <c r="F61" s="56"/>
      <c r="G61" s="56"/>
      <c r="H61" s="53"/>
      <c r="I61" s="56"/>
      <c r="J61" s="56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s="42" customFormat="1">
      <c r="A62" s="53"/>
      <c r="B62" s="59"/>
      <c r="C62" s="55"/>
      <c r="D62" s="56"/>
      <c r="E62" s="56"/>
      <c r="F62" s="56"/>
      <c r="G62" s="56"/>
      <c r="H62" s="53"/>
      <c r="I62" s="56"/>
      <c r="J62" s="56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s="42" customFormat="1">
      <c r="A63" s="53"/>
      <c r="B63" s="59"/>
      <c r="C63" s="55"/>
      <c r="D63" s="56"/>
      <c r="E63" s="56"/>
      <c r="F63" s="56"/>
      <c r="G63" s="56"/>
      <c r="H63" s="53"/>
      <c r="I63" s="56"/>
      <c r="J63" s="56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s="42" customFormat="1">
      <c r="A64" s="53"/>
      <c r="B64" s="59"/>
      <c r="C64" s="55"/>
      <c r="D64" s="56"/>
      <c r="E64" s="56"/>
      <c r="F64" s="56"/>
      <c r="G64" s="56"/>
      <c r="H64" s="53"/>
      <c r="I64" s="56"/>
      <c r="J64" s="56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s="42" customFormat="1">
      <c r="A65" s="53"/>
      <c r="B65" s="59"/>
      <c r="C65" s="55"/>
      <c r="D65" s="56"/>
      <c r="E65" s="56"/>
      <c r="F65" s="56"/>
      <c r="G65" s="56"/>
      <c r="H65" s="53"/>
      <c r="I65" s="56"/>
      <c r="J65" s="56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s="42" customFormat="1">
      <c r="A66" s="53"/>
      <c r="B66" s="59"/>
      <c r="C66" s="55"/>
      <c r="D66" s="56"/>
      <c r="E66" s="56"/>
      <c r="F66" s="56"/>
      <c r="G66" s="56"/>
      <c r="H66" s="53"/>
      <c r="I66" s="56"/>
      <c r="J66" s="56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s="42" customFormat="1">
      <c r="A67" s="53"/>
      <c r="B67" s="59"/>
      <c r="C67" s="55"/>
      <c r="D67" s="56"/>
      <c r="E67" s="56"/>
      <c r="F67" s="56"/>
      <c r="G67" s="56"/>
      <c r="H67" s="53"/>
      <c r="I67" s="56"/>
      <c r="J67" s="56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s="42" customFormat="1">
      <c r="A68" s="53"/>
      <c r="B68" s="59"/>
      <c r="C68" s="55"/>
      <c r="D68" s="56"/>
      <c r="E68" s="56"/>
      <c r="F68" s="56"/>
      <c r="G68" s="56"/>
      <c r="H68" s="53"/>
      <c r="I68" s="56"/>
      <c r="J68" s="56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s="42" customFormat="1">
      <c r="A69" s="53"/>
      <c r="B69" s="59"/>
      <c r="C69" s="55"/>
      <c r="D69" s="56"/>
      <c r="E69" s="56"/>
      <c r="F69" s="56"/>
      <c r="G69" s="56"/>
      <c r="H69" s="53"/>
      <c r="I69" s="56"/>
      <c r="J69" s="56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s="42" customFormat="1">
      <c r="A70" s="53"/>
      <c r="B70" s="59"/>
      <c r="C70" s="55"/>
      <c r="D70" s="56"/>
      <c r="E70" s="56"/>
      <c r="F70" s="56"/>
      <c r="G70" s="56"/>
      <c r="H70" s="53"/>
      <c r="I70" s="56"/>
      <c r="J70" s="56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s="42" customFormat="1">
      <c r="A71" s="53"/>
      <c r="B71" s="59"/>
      <c r="C71" s="55"/>
      <c r="D71" s="56"/>
      <c r="E71" s="56"/>
      <c r="F71" s="56"/>
      <c r="G71" s="56"/>
      <c r="H71" s="53"/>
      <c r="I71" s="56"/>
      <c r="J71" s="56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s="42" customFormat="1">
      <c r="A72" s="53"/>
      <c r="B72" s="59"/>
      <c r="C72" s="55"/>
      <c r="D72" s="56"/>
      <c r="E72" s="56"/>
      <c r="F72" s="56"/>
      <c r="G72" s="56"/>
      <c r="H72" s="53"/>
      <c r="I72" s="56"/>
      <c r="J72" s="56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s="42" customFormat="1">
      <c r="A73" s="53"/>
      <c r="B73" s="59"/>
      <c r="C73" s="55"/>
      <c r="D73" s="56"/>
      <c r="E73" s="56"/>
      <c r="F73" s="56"/>
      <c r="G73" s="56"/>
      <c r="H73" s="53"/>
      <c r="I73" s="56"/>
      <c r="J73" s="56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s="42" customFormat="1">
      <c r="A74" s="53"/>
      <c r="B74" s="59"/>
      <c r="C74" s="55"/>
      <c r="D74" s="56"/>
      <c r="E74" s="56"/>
      <c r="F74" s="56"/>
      <c r="G74" s="56"/>
      <c r="H74" s="53"/>
      <c r="I74" s="56"/>
      <c r="J74" s="56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s="42" customFormat="1">
      <c r="A75" s="53"/>
      <c r="B75" s="59"/>
      <c r="C75" s="55"/>
      <c r="D75" s="56"/>
      <c r="E75" s="56"/>
      <c r="F75" s="56"/>
      <c r="G75" s="56"/>
      <c r="H75" s="53"/>
      <c r="I75" s="56"/>
      <c r="J75" s="56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s="42" customFormat="1">
      <c r="A76" s="53"/>
      <c r="B76" s="59"/>
      <c r="C76" s="55"/>
      <c r="D76" s="56"/>
      <c r="E76" s="56"/>
      <c r="F76" s="56"/>
      <c r="G76" s="56"/>
      <c r="H76" s="53"/>
      <c r="I76" s="56"/>
      <c r="J76" s="56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s="42" customFormat="1">
      <c r="A77" s="53"/>
      <c r="B77" s="59"/>
      <c r="C77" s="55"/>
      <c r="D77" s="56"/>
      <c r="E77" s="56"/>
      <c r="F77" s="56"/>
      <c r="G77" s="56"/>
      <c r="H77" s="53"/>
      <c r="I77" s="56"/>
      <c r="J77" s="56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s="42" customFormat="1">
      <c r="A78" s="53"/>
      <c r="B78" s="59"/>
      <c r="C78" s="55"/>
      <c r="D78" s="56"/>
      <c r="E78" s="56"/>
      <c r="F78" s="56"/>
      <c r="G78" s="56"/>
      <c r="H78" s="53"/>
      <c r="I78" s="56"/>
      <c r="J78" s="56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s="42" customFormat="1">
      <c r="A79" s="53"/>
      <c r="B79" s="59"/>
      <c r="C79" s="55"/>
      <c r="D79" s="56"/>
      <c r="E79" s="56"/>
      <c r="F79" s="56"/>
      <c r="G79" s="56"/>
      <c r="H79" s="53"/>
      <c r="I79" s="56"/>
      <c r="J79" s="56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s="42" customFormat="1">
      <c r="A80" s="53"/>
      <c r="B80" s="59"/>
      <c r="C80" s="55"/>
      <c r="D80" s="56"/>
      <c r="E80" s="56"/>
      <c r="F80" s="56"/>
      <c r="G80" s="56"/>
      <c r="H80" s="53"/>
      <c r="I80" s="56"/>
      <c r="J80" s="56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s="42" customFormat="1">
      <c r="A81" s="53"/>
      <c r="B81" s="59"/>
      <c r="C81" s="55"/>
      <c r="D81" s="56"/>
      <c r="E81" s="56"/>
      <c r="F81" s="56"/>
      <c r="G81" s="56"/>
      <c r="H81" s="53"/>
      <c r="I81" s="56"/>
      <c r="J81" s="56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s="42" customFormat="1">
      <c r="A82" s="53"/>
      <c r="B82" s="59"/>
      <c r="C82" s="55"/>
      <c r="D82" s="56"/>
      <c r="E82" s="56"/>
      <c r="F82" s="56"/>
      <c r="G82" s="56"/>
      <c r="H82" s="53"/>
      <c r="I82" s="56"/>
      <c r="J82" s="56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s="42" customFormat="1">
      <c r="A83" s="53"/>
      <c r="B83" s="59"/>
      <c r="C83" s="55"/>
      <c r="D83" s="56"/>
      <c r="E83" s="56"/>
      <c r="F83" s="56"/>
      <c r="G83" s="56"/>
      <c r="H83" s="53"/>
      <c r="I83" s="56"/>
      <c r="J83" s="56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s="42" customFormat="1">
      <c r="A84" s="53"/>
      <c r="B84" s="59"/>
      <c r="C84" s="55"/>
      <c r="D84" s="56"/>
      <c r="E84" s="56"/>
      <c r="F84" s="56"/>
      <c r="G84" s="56"/>
      <c r="H84" s="53"/>
      <c r="I84" s="56"/>
      <c r="J84" s="56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s="42" customFormat="1">
      <c r="A85" s="53"/>
      <c r="B85" s="59"/>
      <c r="C85" s="55"/>
      <c r="D85" s="56"/>
      <c r="E85" s="56"/>
      <c r="F85" s="56"/>
      <c r="G85" s="56"/>
      <c r="H85" s="53"/>
      <c r="I85" s="56"/>
      <c r="J85" s="56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s="42" customFormat="1">
      <c r="A86" s="53"/>
      <c r="B86" s="59"/>
      <c r="C86" s="55"/>
      <c r="D86" s="56"/>
      <c r="E86" s="56"/>
      <c r="F86" s="56"/>
      <c r="G86" s="56"/>
      <c r="H86" s="53"/>
      <c r="I86" s="56"/>
      <c r="J86" s="56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s="42" customFormat="1">
      <c r="A87" s="53"/>
      <c r="B87" s="59"/>
      <c r="C87" s="55"/>
      <c r="D87" s="56"/>
      <c r="E87" s="56"/>
      <c r="F87" s="56"/>
      <c r="G87" s="56"/>
      <c r="H87" s="53"/>
      <c r="I87" s="56"/>
      <c r="J87" s="56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s="42" customFormat="1">
      <c r="A88" s="53"/>
      <c r="B88" s="59"/>
      <c r="C88" s="55"/>
      <c r="D88" s="56"/>
      <c r="E88" s="56"/>
      <c r="F88" s="56"/>
      <c r="G88" s="56"/>
      <c r="H88" s="53"/>
      <c r="I88" s="56"/>
      <c r="J88" s="56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s="42" customFormat="1">
      <c r="A89" s="53"/>
      <c r="B89" s="59"/>
      <c r="C89" s="55"/>
      <c r="D89" s="56"/>
      <c r="E89" s="56"/>
      <c r="F89" s="56"/>
      <c r="G89" s="56"/>
      <c r="H89" s="53"/>
      <c r="I89" s="56"/>
      <c r="J89" s="56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s="42" customFormat="1">
      <c r="A90" s="53"/>
      <c r="B90" s="59"/>
      <c r="C90" s="55"/>
      <c r="D90" s="56"/>
      <c r="E90" s="56"/>
      <c r="F90" s="56"/>
      <c r="G90" s="56"/>
      <c r="H90" s="53"/>
      <c r="I90" s="56"/>
      <c r="J90" s="56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s="42" customFormat="1">
      <c r="A91" s="53"/>
      <c r="B91" s="59"/>
      <c r="C91" s="55"/>
      <c r="D91" s="56"/>
      <c r="E91" s="56"/>
      <c r="F91" s="56"/>
      <c r="G91" s="56"/>
      <c r="H91" s="53"/>
      <c r="I91" s="56"/>
      <c r="J91" s="56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s="42" customFormat="1">
      <c r="A92" s="53"/>
      <c r="B92" s="59"/>
      <c r="C92" s="55"/>
      <c r="D92" s="56"/>
      <c r="E92" s="56"/>
      <c r="F92" s="56"/>
      <c r="G92" s="56"/>
      <c r="H92" s="53"/>
      <c r="I92" s="56"/>
      <c r="J92" s="56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s="42" customFormat="1">
      <c r="A93" s="53"/>
      <c r="B93" s="59"/>
      <c r="C93" s="55"/>
      <c r="D93" s="56"/>
      <c r="E93" s="56"/>
      <c r="F93" s="56"/>
      <c r="G93" s="56"/>
      <c r="H93" s="53"/>
      <c r="I93" s="56"/>
      <c r="J93" s="56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s="42" customFormat="1">
      <c r="A94" s="53"/>
      <c r="B94" s="59"/>
      <c r="C94" s="55"/>
      <c r="D94" s="56"/>
      <c r="E94" s="56"/>
      <c r="F94" s="56"/>
      <c r="G94" s="56"/>
      <c r="H94" s="53"/>
      <c r="I94" s="56"/>
      <c r="J94" s="56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s="42" customFormat="1">
      <c r="A95" s="53"/>
      <c r="B95" s="59"/>
      <c r="C95" s="55"/>
      <c r="D95" s="56"/>
      <c r="E95" s="56"/>
      <c r="F95" s="56"/>
      <c r="G95" s="56"/>
      <c r="H95" s="53"/>
      <c r="I95" s="56"/>
      <c r="J95" s="56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s="42" customFormat="1">
      <c r="A96" s="53"/>
      <c r="B96" s="59"/>
      <c r="C96" s="55"/>
      <c r="D96" s="56"/>
      <c r="E96" s="56"/>
      <c r="F96" s="56"/>
      <c r="G96" s="56"/>
      <c r="H96" s="53"/>
      <c r="I96" s="56"/>
      <c r="J96" s="56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s="42" customFormat="1">
      <c r="A97" s="53"/>
      <c r="B97" s="59"/>
      <c r="C97" s="55"/>
      <c r="D97" s="56"/>
      <c r="E97" s="56"/>
      <c r="F97" s="56"/>
      <c r="G97" s="56"/>
      <c r="H97" s="53"/>
      <c r="I97" s="56"/>
      <c r="J97" s="56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s="42" customFormat="1">
      <c r="A98" s="53"/>
      <c r="B98" s="59"/>
      <c r="C98" s="55"/>
      <c r="D98" s="56"/>
      <c r="E98" s="56"/>
      <c r="F98" s="56"/>
      <c r="G98" s="56"/>
      <c r="H98" s="53"/>
      <c r="I98" s="56"/>
      <c r="J98" s="56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s="42" customFormat="1">
      <c r="A99" s="53"/>
      <c r="B99" s="59"/>
      <c r="C99" s="55"/>
      <c r="D99" s="56"/>
      <c r="E99" s="56"/>
      <c r="F99" s="56"/>
      <c r="G99" s="56"/>
      <c r="H99" s="53"/>
      <c r="I99" s="56"/>
      <c r="J99" s="56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s="42" customFormat="1">
      <c r="A100" s="53"/>
      <c r="B100" s="59"/>
      <c r="C100" s="55"/>
      <c r="D100" s="56"/>
      <c r="E100" s="56"/>
      <c r="F100" s="56"/>
      <c r="G100" s="56"/>
      <c r="H100" s="53"/>
      <c r="I100" s="56"/>
      <c r="J100" s="56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s="42" customFormat="1">
      <c r="A101" s="53"/>
      <c r="B101" s="59"/>
      <c r="C101" s="55"/>
      <c r="D101" s="56"/>
      <c r="E101" s="56"/>
      <c r="F101" s="56"/>
      <c r="G101" s="56"/>
      <c r="H101" s="53"/>
      <c r="I101" s="56"/>
      <c r="J101" s="56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s="42" customFormat="1">
      <c r="A102" s="53"/>
      <c r="B102" s="59"/>
      <c r="C102" s="55"/>
      <c r="D102" s="56"/>
      <c r="E102" s="56"/>
      <c r="F102" s="56"/>
      <c r="G102" s="56"/>
      <c r="H102" s="53"/>
      <c r="I102" s="56"/>
      <c r="J102" s="56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s="42" customFormat="1">
      <c r="A103" s="53"/>
      <c r="B103" s="59"/>
      <c r="C103" s="55"/>
      <c r="D103" s="56"/>
      <c r="E103" s="56"/>
      <c r="F103" s="56"/>
      <c r="G103" s="56"/>
      <c r="H103" s="53"/>
      <c r="I103" s="56"/>
      <c r="J103" s="56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s="42" customFormat="1">
      <c r="A104" s="53"/>
      <c r="B104" s="59"/>
      <c r="C104" s="55"/>
      <c r="D104" s="56"/>
      <c r="E104" s="56"/>
      <c r="F104" s="56"/>
      <c r="G104" s="56"/>
      <c r="H104" s="53"/>
      <c r="I104" s="56"/>
      <c r="J104" s="56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s="42" customFormat="1">
      <c r="A105" s="53"/>
      <c r="B105" s="59"/>
      <c r="C105" s="55"/>
      <c r="D105" s="56"/>
      <c r="E105" s="56"/>
      <c r="F105" s="56"/>
      <c r="G105" s="56"/>
      <c r="H105" s="53"/>
      <c r="I105" s="56"/>
      <c r="J105" s="56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s="42" customFormat="1">
      <c r="A106" s="53"/>
      <c r="B106" s="59"/>
      <c r="C106" s="55"/>
      <c r="D106" s="56"/>
      <c r="E106" s="56"/>
      <c r="F106" s="56"/>
      <c r="G106" s="56"/>
      <c r="H106" s="53"/>
      <c r="I106" s="56"/>
      <c r="J106" s="56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s="42" customFormat="1">
      <c r="A107" s="53"/>
      <c r="B107" s="59"/>
      <c r="C107" s="55"/>
      <c r="D107" s="56"/>
      <c r="E107" s="56"/>
      <c r="F107" s="56"/>
      <c r="G107" s="56"/>
      <c r="H107" s="53"/>
      <c r="I107" s="56"/>
      <c r="J107" s="56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s="42" customFormat="1">
      <c r="A108" s="53"/>
      <c r="B108" s="59"/>
      <c r="C108" s="55"/>
      <c r="D108" s="56"/>
      <c r="E108" s="56"/>
      <c r="F108" s="56"/>
      <c r="G108" s="56"/>
      <c r="H108" s="53"/>
      <c r="I108" s="56"/>
      <c r="J108" s="56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s="42" customFormat="1">
      <c r="A109" s="53"/>
      <c r="B109" s="59"/>
      <c r="C109" s="55"/>
      <c r="D109" s="56"/>
      <c r="E109" s="56"/>
      <c r="F109" s="56"/>
      <c r="G109" s="56"/>
      <c r="H109" s="53"/>
      <c r="I109" s="56"/>
      <c r="J109" s="56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s="42" customFormat="1">
      <c r="A110" s="53"/>
      <c r="B110" s="59"/>
      <c r="C110" s="55"/>
      <c r="D110" s="56"/>
      <c r="E110" s="56"/>
      <c r="F110" s="56"/>
      <c r="G110" s="56"/>
      <c r="H110" s="53"/>
      <c r="I110" s="56"/>
      <c r="J110" s="56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s="42" customFormat="1">
      <c r="A111" s="53"/>
      <c r="B111" s="59"/>
      <c r="C111" s="55"/>
      <c r="D111" s="56"/>
      <c r="E111" s="56"/>
      <c r="F111" s="56"/>
      <c r="G111" s="56"/>
      <c r="H111" s="53"/>
      <c r="I111" s="56"/>
      <c r="J111" s="56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s="42" customFormat="1">
      <c r="A112" s="53"/>
      <c r="B112" s="59"/>
      <c r="C112" s="55"/>
      <c r="D112" s="56"/>
      <c r="E112" s="56"/>
      <c r="F112" s="56"/>
      <c r="G112" s="56"/>
      <c r="H112" s="53"/>
      <c r="I112" s="56"/>
      <c r="J112" s="56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s="42" customFormat="1">
      <c r="A113" s="53"/>
      <c r="B113" s="59"/>
      <c r="C113" s="55"/>
      <c r="D113" s="56"/>
      <c r="E113" s="56"/>
      <c r="F113" s="56"/>
      <c r="G113" s="56"/>
      <c r="H113" s="53"/>
      <c r="I113" s="56"/>
      <c r="J113" s="56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s="42" customFormat="1">
      <c r="A114" s="53"/>
      <c r="B114" s="59"/>
      <c r="C114" s="55"/>
      <c r="D114" s="56"/>
      <c r="E114" s="56"/>
      <c r="F114" s="56"/>
      <c r="G114" s="56"/>
      <c r="H114" s="53"/>
      <c r="I114" s="56"/>
      <c r="J114" s="56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s="42" customFormat="1">
      <c r="A115" s="53"/>
      <c r="B115" s="59"/>
      <c r="C115" s="55"/>
      <c r="D115" s="56"/>
      <c r="E115" s="56"/>
      <c r="F115" s="56"/>
      <c r="G115" s="56"/>
      <c r="H115" s="53"/>
      <c r="I115" s="56"/>
      <c r="J115" s="56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s="42" customFormat="1">
      <c r="A116" s="53"/>
      <c r="B116" s="59"/>
      <c r="C116" s="55"/>
      <c r="D116" s="56"/>
      <c r="E116" s="56"/>
      <c r="F116" s="56"/>
      <c r="G116" s="56"/>
      <c r="H116" s="53"/>
      <c r="I116" s="56"/>
      <c r="J116" s="56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s="42" customFormat="1">
      <c r="A117" s="53"/>
      <c r="B117" s="59"/>
      <c r="C117" s="55"/>
      <c r="D117" s="56"/>
      <c r="E117" s="56"/>
      <c r="F117" s="56"/>
      <c r="G117" s="56"/>
      <c r="H117" s="53"/>
      <c r="I117" s="56"/>
      <c r="J117" s="56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s="42" customFormat="1">
      <c r="A118" s="53"/>
      <c r="B118" s="59"/>
      <c r="C118" s="55"/>
      <c r="D118" s="56"/>
      <c r="E118" s="56"/>
      <c r="F118" s="56"/>
      <c r="G118" s="56"/>
      <c r="H118" s="53"/>
      <c r="I118" s="56"/>
      <c r="J118" s="56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s="42" customFormat="1">
      <c r="A119" s="53"/>
      <c r="B119" s="59"/>
      <c r="C119" s="55"/>
      <c r="D119" s="56"/>
      <c r="E119" s="56"/>
      <c r="F119" s="56"/>
      <c r="G119" s="56"/>
      <c r="H119" s="53"/>
      <c r="I119" s="56"/>
      <c r="J119" s="56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s="42" customFormat="1">
      <c r="A120" s="53"/>
      <c r="B120" s="59"/>
      <c r="C120" s="55"/>
      <c r="D120" s="56"/>
      <c r="E120" s="56"/>
      <c r="F120" s="56"/>
      <c r="G120" s="56"/>
      <c r="H120" s="53"/>
      <c r="I120" s="56"/>
      <c r="J120" s="56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s="42" customFormat="1">
      <c r="A121" s="53"/>
      <c r="B121" s="59"/>
      <c r="C121" s="55"/>
      <c r="D121" s="56"/>
      <c r="E121" s="56"/>
      <c r="F121" s="56"/>
      <c r="G121" s="56"/>
      <c r="H121" s="53"/>
      <c r="I121" s="56"/>
      <c r="J121" s="56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s="42" customFormat="1">
      <c r="A122" s="53"/>
      <c r="B122" s="59"/>
      <c r="C122" s="55"/>
      <c r="D122" s="56"/>
      <c r="E122" s="56"/>
      <c r="F122" s="56"/>
      <c r="G122" s="56"/>
      <c r="H122" s="53"/>
      <c r="I122" s="56"/>
      <c r="J122" s="56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s="42" customFormat="1">
      <c r="A123" s="53"/>
      <c r="B123" s="59"/>
      <c r="C123" s="55"/>
      <c r="D123" s="56"/>
      <c r="E123" s="56"/>
      <c r="F123" s="56"/>
      <c r="G123" s="56"/>
      <c r="H123" s="53"/>
      <c r="I123" s="56"/>
      <c r="J123" s="56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s="42" customFormat="1">
      <c r="A124" s="53"/>
      <c r="B124" s="59"/>
      <c r="C124" s="55"/>
      <c r="D124" s="56"/>
      <c r="E124" s="56"/>
      <c r="F124" s="56"/>
      <c r="G124" s="56"/>
      <c r="H124" s="53"/>
      <c r="I124" s="56"/>
      <c r="J124" s="56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s="42" customFormat="1">
      <c r="A125" s="53"/>
      <c r="B125" s="59"/>
      <c r="C125" s="55"/>
      <c r="D125" s="56"/>
      <c r="E125" s="56"/>
      <c r="F125" s="56"/>
      <c r="G125" s="56"/>
      <c r="H125" s="53"/>
      <c r="I125" s="56"/>
      <c r="J125" s="56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s="42" customFormat="1">
      <c r="A126" s="53"/>
      <c r="B126" s="59"/>
      <c r="C126" s="55"/>
      <c r="D126" s="56"/>
      <c r="E126" s="56"/>
      <c r="F126" s="56"/>
      <c r="G126" s="56"/>
      <c r="H126" s="53"/>
      <c r="I126" s="56"/>
      <c r="J126" s="56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s="42" customFormat="1">
      <c r="A127" s="53"/>
      <c r="B127" s="59"/>
      <c r="C127" s="55"/>
      <c r="D127" s="56"/>
      <c r="E127" s="56"/>
      <c r="F127" s="56"/>
      <c r="G127" s="56"/>
      <c r="H127" s="53"/>
      <c r="I127" s="56"/>
      <c r="J127" s="56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s="42" customFormat="1">
      <c r="A128" s="53"/>
      <c r="B128" s="59"/>
      <c r="C128" s="55"/>
      <c r="D128" s="56"/>
      <c r="E128" s="56"/>
      <c r="F128" s="56"/>
      <c r="G128" s="56"/>
      <c r="H128" s="53"/>
      <c r="I128" s="56"/>
      <c r="J128" s="56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s="42" customFormat="1">
      <c r="A129" s="53"/>
      <c r="B129" s="59"/>
      <c r="C129" s="55"/>
      <c r="D129" s="56"/>
      <c r="E129" s="56"/>
      <c r="F129" s="56"/>
      <c r="G129" s="56"/>
      <c r="H129" s="53"/>
      <c r="I129" s="56"/>
      <c r="J129" s="56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s="42" customFormat="1">
      <c r="A130" s="53"/>
      <c r="B130" s="59"/>
      <c r="C130" s="55"/>
      <c r="D130" s="56"/>
      <c r="E130" s="56"/>
      <c r="F130" s="56"/>
      <c r="G130" s="56"/>
      <c r="H130" s="53"/>
      <c r="I130" s="56"/>
      <c r="J130" s="56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s="42" customFormat="1">
      <c r="A131" s="53"/>
      <c r="B131" s="59"/>
      <c r="C131" s="55"/>
      <c r="D131" s="56"/>
      <c r="E131" s="56"/>
      <c r="F131" s="56"/>
      <c r="G131" s="56"/>
      <c r="H131" s="53"/>
      <c r="I131" s="56"/>
      <c r="J131" s="56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s="42" customFormat="1">
      <c r="A132" s="53"/>
      <c r="B132" s="59"/>
      <c r="C132" s="55"/>
      <c r="D132" s="56"/>
      <c r="E132" s="56"/>
      <c r="F132" s="56"/>
      <c r="G132" s="56"/>
      <c r="H132" s="53"/>
      <c r="I132" s="56"/>
      <c r="J132" s="56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s="42" customFormat="1">
      <c r="A133" s="53"/>
      <c r="B133" s="59"/>
      <c r="C133" s="55"/>
      <c r="D133" s="56"/>
      <c r="E133" s="56"/>
      <c r="F133" s="56"/>
      <c r="G133" s="56"/>
      <c r="H133" s="53"/>
      <c r="I133" s="56"/>
      <c r="J133" s="56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s="42" customFormat="1">
      <c r="A134" s="53"/>
      <c r="B134" s="59"/>
      <c r="C134" s="55"/>
      <c r="D134" s="56"/>
      <c r="E134" s="56"/>
      <c r="F134" s="56"/>
      <c r="G134" s="56"/>
      <c r="H134" s="53"/>
      <c r="I134" s="56"/>
      <c r="J134" s="56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s="42" customFormat="1">
      <c r="A135" s="53"/>
      <c r="B135" s="59"/>
      <c r="C135" s="55"/>
      <c r="D135" s="56"/>
      <c r="E135" s="56"/>
      <c r="F135" s="56"/>
      <c r="G135" s="56"/>
      <c r="H135" s="53"/>
      <c r="I135" s="56"/>
      <c r="J135" s="56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s="42" customFormat="1">
      <c r="A136" s="53"/>
      <c r="B136" s="59"/>
      <c r="C136" s="55"/>
      <c r="D136" s="56"/>
      <c r="E136" s="56"/>
      <c r="F136" s="56"/>
      <c r="G136" s="56"/>
      <c r="H136" s="53"/>
      <c r="I136" s="56"/>
      <c r="J136" s="56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s="42" customFormat="1">
      <c r="A137" s="53"/>
      <c r="B137" s="59"/>
      <c r="C137" s="55"/>
      <c r="D137" s="56"/>
      <c r="E137" s="56"/>
      <c r="F137" s="56"/>
      <c r="G137" s="56"/>
      <c r="H137" s="53"/>
      <c r="I137" s="56"/>
      <c r="J137" s="56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s="42" customFormat="1">
      <c r="A138" s="53"/>
      <c r="B138" s="59"/>
      <c r="C138" s="55"/>
      <c r="D138" s="56"/>
      <c r="E138" s="56"/>
      <c r="F138" s="56"/>
      <c r="G138" s="56"/>
      <c r="H138" s="53"/>
      <c r="I138" s="56"/>
      <c r="J138" s="56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s="42" customFormat="1">
      <c r="A139" s="53"/>
      <c r="B139" s="59"/>
      <c r="C139" s="55"/>
      <c r="D139" s="56"/>
      <c r="E139" s="56"/>
      <c r="F139" s="56"/>
      <c r="G139" s="56"/>
      <c r="H139" s="53"/>
      <c r="I139" s="56"/>
      <c r="J139" s="56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s="42" customFormat="1">
      <c r="A140" s="53"/>
      <c r="B140" s="59"/>
      <c r="C140" s="55"/>
      <c r="D140" s="56"/>
      <c r="E140" s="56"/>
      <c r="F140" s="56"/>
      <c r="G140" s="56"/>
      <c r="H140" s="53"/>
      <c r="I140" s="56"/>
      <c r="J140" s="56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s="42" customFormat="1" ht="11.25" customHeight="1">
      <c r="A141" s="39"/>
      <c r="B141" s="39"/>
      <c r="C141" s="41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s="42" customFormat="1" ht="11.25" customHeight="1">
      <c r="A142" s="39"/>
      <c r="B142" s="39"/>
      <c r="C142" s="41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1.25" customHeight="1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1.25" customHeight="1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1.25" customHeight="1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1.25" customHeight="1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1.25" customHeight="1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1.25" customHeight="1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1.25" customHeight="1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1.25" customHeight="1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1.25" customHeight="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1.25" customHeight="1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1.25" customHeight="1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1.25" customHeight="1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1.25" customHeight="1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1.25" customHeight="1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1.25" customHeight="1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1.25" customHeight="1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1.25" customHeight="1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1.25" customHeight="1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1.25" customHeight="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1.25" customHeight="1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1.25" customHeight="1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1.25" customHeight="1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1.25" customHeight="1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1.25" customHeight="1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1.25" customHeight="1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1.25" customHeight="1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1.25" customHeight="1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1.25" customHeight="1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1.25" customHeight="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1.25" customHeight="1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1.25" customHeight="1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1.25" customHeight="1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1.25" customHeight="1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1.25" customHeight="1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1.25" customHeight="1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1.25" customHeight="1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1.25" customHeight="1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1.25" customHeight="1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1.25" customHeight="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1.25" customHeight="1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1.25" customHeight="1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1.25" customHeight="1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1.25" customHeight="1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1.25" customHeight="1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1.25" customHeight="1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1.25" customHeight="1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1.25" customHeight="1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1.25" customHeight="1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1.25" customHeight="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1.25" customHeight="1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1.25" customHeight="1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1.25" customHeight="1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1.25" customHeight="1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1.25" customHeight="1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1.25" customHeight="1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1.25" customHeight="1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1.25" customHeight="1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1.25" customHeight="1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1.25" customHeight="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1.25" customHeight="1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1.25" customHeight="1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1.25" customHeight="1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1.25" customHeight="1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1.25" customHeight="1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1.25" customHeight="1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1.25" customHeight="1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1.25" customHeight="1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1.25" customHeight="1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1.25" customHeight="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1.25" customHeight="1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1.25" customHeight="1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1.25" customHeight="1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1.25" customHeight="1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1.25" customHeight="1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1.25" customHeight="1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1.25" customHeight="1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1.25" customHeight="1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1.25" customHeight="1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1.25" customHeight="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1.25" customHeight="1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1.25" customHeight="1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1.25" customHeight="1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1.25" customHeight="1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1.25" customHeight="1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1.25" customHeight="1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1.25" customHeight="1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1.25" customHeight="1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1.25" customHeight="1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1.25" customHeight="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1.25" customHeight="1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1.25" customHeight="1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1.25" customHeight="1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1.25" customHeight="1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1.25" customHeight="1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1.25" customHeight="1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1.25" customHeight="1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1.25" customHeight="1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1.25" customHeight="1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1.25" customHeight="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1.25" customHeight="1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1.25" customHeight="1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1.25" customHeight="1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1.25" customHeight="1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1.25" customHeight="1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1.25" customHeight="1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1.25" customHeight="1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1.25" customHeight="1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1.25" customHeight="1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1.25" customHeight="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1.25" customHeight="1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1.25" customHeight="1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1.25" customHeight="1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1.25" customHeight="1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1.25" customHeight="1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1.25" customHeight="1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1.25" customHeight="1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1.25" customHeight="1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1.25" customHeight="1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1.25" customHeight="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1.25" customHeight="1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1.25" customHeight="1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1.25" customHeight="1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1.25" customHeight="1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1.25" customHeight="1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1.25" customHeight="1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1.25" customHeight="1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1.25" customHeight="1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1.25" customHeight="1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1.25" customHeight="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1.25" customHeight="1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1.25" customHeight="1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1.25" customHeight="1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1.25" customHeight="1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1.25" customHeight="1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1.25" customHeight="1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1.25" customHeight="1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1.25" customHeight="1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1.25" customHeight="1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1.25" customHeight="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1.25" customHeight="1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1.25" customHeight="1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1.25" customHeight="1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1.25" customHeight="1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1.25" customHeight="1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1.25" customHeight="1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1.25" customHeight="1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1.25" customHeight="1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1.25" customHeight="1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1.25" customHeight="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1.25" customHeight="1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1.25" customHeight="1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1.25" customHeight="1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1.25" customHeight="1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1.25" customHeight="1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1.25" customHeight="1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1.25" customHeight="1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1.25" customHeight="1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1.25" customHeight="1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1.25" customHeight="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1.25" customHeight="1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1.25" customHeight="1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1.25" customHeight="1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1.25" customHeight="1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1.25" customHeight="1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1.25" customHeight="1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1.25" customHeight="1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1.25" customHeight="1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1.25" customHeight="1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1.25" customHeight="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1.25" customHeight="1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1.25" customHeight="1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1.25" customHeight="1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1.25" customHeight="1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1.25" customHeight="1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1.25" customHeight="1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1.25" customHeight="1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1.25" customHeight="1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1.25" customHeight="1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1.25" customHeight="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1.25" customHeight="1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1.25" customHeight="1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1.25" customHeight="1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1.25" customHeight="1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1.25" customHeight="1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1.25" customHeight="1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1.25" customHeight="1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1.25" customHeight="1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1.25" customHeight="1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1.25" customHeight="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1.25" customHeight="1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1.25" customHeight="1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1.25" customHeight="1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1.25" customHeight="1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1.25" customHeight="1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1.25" customHeight="1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1.25" customHeight="1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1.25" customHeight="1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1.25" customHeight="1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1.25" customHeight="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1.25" customHeight="1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1.25" customHeight="1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1.25" customHeight="1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1.25" customHeight="1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1.25" customHeight="1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1.25" customHeight="1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1.25" customHeight="1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1.25" customHeight="1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1.25" customHeight="1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1.25" customHeight="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1.25" customHeight="1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1.25" customHeight="1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1.25" customHeight="1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1.25" customHeight="1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1.25" customHeight="1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1.25" customHeight="1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1.25" customHeight="1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1.25" customHeight="1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1.25" customHeight="1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1.25" customHeight="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1.25" customHeight="1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1.25" customHeight="1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1.25" customHeight="1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1.25" customHeight="1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1.25" customHeight="1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1.25" customHeight="1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1.25" customHeight="1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1.25" customHeight="1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1.25" customHeight="1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1.25" customHeight="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1.25" customHeight="1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1.25" customHeight="1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1.25" customHeight="1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1.25" customHeight="1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1.25" customHeight="1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1.25" customHeight="1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1.25" customHeight="1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1.25" customHeight="1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1.25" customHeight="1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1.25" customHeight="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1.25" customHeight="1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1.25" customHeight="1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1.25" customHeight="1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1.25" customHeight="1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1.25" customHeight="1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1.25" customHeight="1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1.25" customHeight="1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1.25" customHeight="1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1.25" customHeight="1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1.25" customHeight="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1.25" customHeight="1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1.25" customHeight="1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1.25" customHeight="1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1.25" customHeight="1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1.25" customHeight="1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1.25" customHeight="1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1.25" customHeight="1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1.25" customHeight="1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1.25" customHeight="1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1.25" customHeight="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1.25" customHeight="1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1.25" customHeight="1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1.25" customHeight="1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1.25" customHeight="1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1.25" customHeight="1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1.25" customHeight="1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1.25" customHeight="1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1.25" customHeight="1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1.25" customHeight="1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1.25" customHeight="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1.25" customHeight="1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1.25" customHeight="1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1.25" customHeight="1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1.25" customHeight="1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1.25" customHeight="1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1.25" customHeight="1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1.25" customHeight="1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1.25" customHeight="1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1.25" customHeight="1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1.25" customHeight="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1.25" customHeight="1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1.25" customHeight="1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1.25" customHeight="1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1.25" customHeight="1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1.25" customHeight="1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1.25" customHeight="1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1.25" customHeight="1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1.25" customHeight="1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1.25" customHeight="1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1.25" customHeight="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1.25" customHeight="1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1.25" customHeight="1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1.25" customHeight="1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1.25" customHeight="1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1.25" customHeight="1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1.25" customHeight="1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1.25" customHeight="1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1.25" customHeight="1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1.25" customHeight="1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1.25" customHeight="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1.25" customHeight="1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1.25" customHeight="1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1.25" customHeight="1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1.25" customHeight="1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1.25" customHeight="1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1.25" customHeight="1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1.25" customHeight="1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1.25" customHeight="1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1.25" customHeight="1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1.25" customHeight="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1.25" customHeight="1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1.25" customHeight="1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1.25" customHeight="1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1.25" customHeight="1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1.25" customHeight="1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1.25" customHeight="1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1.25" customHeight="1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1.25" customHeight="1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1.25" customHeight="1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1.25" customHeight="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1.25" customHeight="1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1.25" customHeight="1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1.25" customHeight="1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1.25" customHeight="1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1.25" customHeight="1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1.25" customHeight="1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1.25" customHeight="1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1.25" customHeight="1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1.25" customHeight="1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1.25" customHeight="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1.25" customHeight="1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1.25" customHeight="1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1.25" customHeight="1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1.25" customHeight="1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1.25" customHeight="1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1.25" customHeight="1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1.25" customHeight="1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1.25" customHeight="1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1.25" customHeight="1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1.25" customHeight="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1.25" customHeight="1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1.25" customHeight="1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1.25" customHeight="1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1.25" customHeight="1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1.25" customHeight="1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1.25" customHeight="1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1.25" customHeight="1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1.25" customHeight="1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1.25" customHeight="1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1.25" customHeight="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1.25" customHeight="1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1.25" customHeight="1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1.25" customHeight="1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1.25" customHeight="1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1.25" customHeight="1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1.25" customHeight="1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1.25" customHeight="1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1.25" customHeight="1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1.25" customHeight="1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1.25" customHeight="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1.25" customHeight="1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1.25" customHeight="1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1.25" customHeight="1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1.25" customHeight="1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1.25" customHeight="1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1.25" customHeight="1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1.25" customHeight="1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1.25" customHeight="1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1.25" customHeight="1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1.25" customHeight="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1.25" customHeight="1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1.25" customHeight="1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1.25" customHeight="1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1.25" customHeight="1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1.25" customHeight="1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1.25" customHeight="1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1.25" customHeight="1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1.25" customHeight="1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1.25" customHeight="1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1.25" customHeight="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1.25" customHeight="1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1.25" customHeight="1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1.25" customHeight="1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1.25" customHeight="1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1.25" customHeight="1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1.25" customHeight="1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1.25" customHeight="1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1.25" customHeight="1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1.25" customHeight="1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1.25" customHeight="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1.25" customHeight="1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1.25" customHeight="1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1.25" customHeight="1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1.25" customHeight="1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1.25" customHeight="1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1.25" customHeight="1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1.25" customHeight="1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1.25" customHeight="1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1.25" customHeight="1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1.25" customHeight="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1.25" customHeight="1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1.25" customHeight="1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1.25" customHeight="1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1.25" customHeight="1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1.25" customHeight="1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1.25" customHeight="1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1.25" customHeight="1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1.25" customHeight="1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1.25" customHeight="1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1.25" customHeight="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1.25" customHeight="1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1.25" customHeight="1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1.25" customHeight="1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1.25" customHeight="1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1.25" customHeight="1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1.25" customHeight="1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1.25" customHeight="1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1.25" customHeight="1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1.25" customHeight="1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1.25" customHeight="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1.25" customHeight="1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1.25" customHeight="1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1.25" customHeight="1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1.25" customHeight="1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1.25" customHeight="1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1.25" customHeight="1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1.25" customHeight="1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1.25" customHeight="1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1.25" customHeight="1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1.25" customHeight="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1.25" customHeight="1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1.25" customHeight="1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1.25" customHeight="1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1.25" customHeight="1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1.25" customHeight="1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1.25" customHeight="1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1.25" customHeight="1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1.25" customHeight="1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1.25" customHeight="1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1.25" customHeight="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1.25" customHeight="1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1.25" customHeight="1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1.25" customHeight="1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1.25" customHeight="1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1.25" customHeight="1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1.25" customHeight="1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1.25" customHeight="1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1.25" customHeight="1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1.25" customHeight="1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1.25" customHeight="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1.25" customHeight="1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1.25" customHeight="1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1.25" customHeight="1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1.25" customHeight="1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1.25" customHeight="1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1.25" customHeight="1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1.25" customHeight="1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1.25" customHeight="1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1.25" customHeight="1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1.25" customHeight="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1.25" customHeight="1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1.25" customHeight="1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1.25" customHeight="1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1.25" customHeight="1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1.25" customHeight="1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1.25" customHeight="1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1.25" customHeight="1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1.25" customHeight="1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1.25" customHeight="1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1.25" customHeight="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1.25" customHeight="1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1.25" customHeight="1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1.25" customHeight="1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1.25" customHeight="1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1.25" customHeight="1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1.25" customHeight="1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1.25" customHeight="1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1.25" customHeight="1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1.25" customHeight="1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1.25" customHeight="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1.25" customHeight="1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1.25" customHeight="1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1.25" customHeight="1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1.25" customHeight="1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1.25" customHeight="1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1.25" customHeight="1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1.25" customHeight="1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1.25" customHeight="1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1.25" customHeight="1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1.25" customHeight="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1.25" customHeight="1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1.25" customHeight="1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1.25" customHeight="1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1.25" customHeight="1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1.25" customHeight="1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1.25" customHeight="1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1.25" customHeight="1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1.25" customHeight="1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1.25" customHeight="1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1.25" customHeight="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1.25" customHeight="1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1.25" customHeight="1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1.25" customHeight="1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1.25" customHeight="1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1.25" customHeight="1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1.25" customHeight="1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1.25" customHeight="1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1.25" customHeight="1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1.25" customHeight="1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1.25" customHeight="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1.25" customHeight="1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1.25" customHeight="1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1.25" customHeight="1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1.25" customHeight="1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1.25" customHeight="1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1.25" customHeight="1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1.25" customHeight="1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1.25" customHeight="1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1.25" customHeight="1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1.25" customHeight="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1.25" customHeight="1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1.25" customHeight="1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1.25" customHeight="1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1.25" customHeight="1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1.25" customHeight="1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1.25" customHeight="1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1.25" customHeight="1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1.25" customHeight="1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1.25" customHeight="1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1.25" customHeight="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1.25" customHeight="1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1.25" customHeight="1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1.25" customHeight="1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1.25" customHeight="1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1.25" customHeight="1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1.25" customHeight="1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1.25" customHeight="1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1.25" customHeight="1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1.25" customHeight="1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1.25" customHeight="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1.25" customHeight="1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1.25" customHeight="1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1.25" customHeight="1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1.25" customHeight="1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1.25" customHeight="1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1.25" customHeight="1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1.25" customHeight="1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1.25" customHeight="1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1.25" customHeight="1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1.25" customHeight="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1.25" customHeight="1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1.25" customHeight="1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1.25" customHeight="1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1.25" customHeight="1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1.25" customHeight="1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1.25" customHeight="1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1.25" customHeight="1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1.25" customHeight="1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1.25" customHeight="1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1.25" customHeight="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1.25" customHeight="1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1.25" customHeight="1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1.25" customHeight="1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1.25" customHeight="1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1.25" customHeight="1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1.25" customHeight="1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1.25" customHeight="1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1.25" customHeight="1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1.25" customHeight="1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1.25" customHeight="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1.25" customHeight="1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1.25" customHeight="1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1.25" customHeight="1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1.25" customHeight="1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1.25" customHeight="1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1.25" customHeight="1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1.25" customHeight="1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1.25" customHeight="1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1.25" customHeight="1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1.25" customHeight="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1.25" customHeight="1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1.25" customHeight="1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1.25" customHeight="1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1.25" customHeight="1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1.25" customHeight="1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1.25" customHeight="1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1.25" customHeight="1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1.25" customHeight="1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1.25" customHeight="1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1.25" customHeight="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1.25" customHeight="1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1.25" customHeight="1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1.25" customHeight="1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1.25" customHeight="1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1.25" customHeight="1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1.25" customHeight="1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1.25" customHeight="1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1.25" customHeight="1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1.25" customHeight="1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1.25" customHeight="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1.25" customHeight="1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1.25" customHeight="1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1.25" customHeight="1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1.25" customHeight="1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1.25" customHeight="1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1.25" customHeight="1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1.25" customHeight="1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1.25" customHeight="1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1.25" customHeight="1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1.25" customHeight="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1.25" customHeight="1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1.25" customHeight="1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1.25" customHeight="1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1.25" customHeight="1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1.25" customHeight="1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1.25" customHeight="1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1.25" customHeight="1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1.25" customHeight="1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1.25" customHeight="1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1.25" customHeight="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1.25" customHeight="1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1.25" customHeight="1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1.25" customHeight="1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1.25" customHeight="1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1.25" customHeight="1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1.25" customHeight="1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1.25" customHeight="1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1.25" customHeight="1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1.25" customHeight="1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1.25" customHeight="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1.25" customHeight="1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" customHeight="1"/>
    <row r="774" spans="1:26" ht="15" customHeight="1"/>
    <row r="775" spans="1:26" ht="15" customHeight="1"/>
    <row r="776" spans="1:26" ht="15" customHeight="1"/>
    <row r="777" spans="1:26" ht="15" customHeight="1"/>
    <row r="778" spans="1:26" ht="15" customHeight="1"/>
    <row r="779" spans="1:26" ht="15" customHeight="1"/>
    <row r="780" spans="1:26" ht="15" customHeight="1"/>
    <row r="781" spans="1:26" ht="15" customHeight="1"/>
    <row r="782" spans="1:26" ht="15" customHeight="1"/>
    <row r="783" spans="1:26" ht="15" customHeight="1"/>
    <row r="784" spans="1:26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</sheetData>
  <mergeCells count="2">
    <mergeCell ref="A7:D7"/>
    <mergeCell ref="E7:J7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1"/>
  <sheetViews>
    <sheetView zoomScaleNormal="100" workbookViewId="0">
      <pane ySplit="8" topLeftCell="A9" activePane="bottomLeft" state="frozen"/>
      <selection pane="bottomLeft" activeCell="E34" sqref="E34"/>
    </sheetView>
  </sheetViews>
  <sheetFormatPr defaultColWidth="14.42578125" defaultRowHeight="15" customHeight="1"/>
  <cols>
    <col min="1" max="1" width="26.140625" customWidth="1"/>
    <col min="2" max="2" width="34" customWidth="1"/>
    <col min="3" max="3" width="10.85546875" customWidth="1"/>
    <col min="4" max="4" width="12.28515625" customWidth="1"/>
    <col min="5" max="5" width="20.42578125" customWidth="1"/>
    <col min="6" max="6" width="72.140625" customWidth="1"/>
    <col min="7" max="8" width="17.5703125" customWidth="1"/>
    <col min="9" max="9" width="16.85546875" customWidth="1"/>
    <col min="10" max="14" width="17.5703125" customWidth="1"/>
    <col min="15" max="30" width="8.7109375" customWidth="1"/>
  </cols>
  <sheetData>
    <row r="1" spans="1:30" ht="11.25" customHeight="1">
      <c r="A1" s="1" t="s">
        <v>0</v>
      </c>
      <c r="B1" s="21"/>
      <c r="C1" s="21"/>
      <c r="D1" s="18"/>
      <c r="E1" s="19"/>
      <c r="F1" s="18"/>
      <c r="G1" s="3" t="s">
        <v>1</v>
      </c>
      <c r="H1" s="4">
        <f>COUNTA(H9:H141)</f>
        <v>0</v>
      </c>
      <c r="I1" s="4"/>
      <c r="J1" s="4"/>
      <c r="K1" s="5"/>
      <c r="L1" s="6"/>
      <c r="M1" s="5" t="s">
        <v>2</v>
      </c>
      <c r="N1" s="6">
        <f>COUNTA(#REF!)</f>
        <v>1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1.25" customHeight="1">
      <c r="A2" s="1"/>
      <c r="B2" s="21"/>
      <c r="C2" s="21"/>
      <c r="D2" s="18"/>
      <c r="E2" s="19"/>
      <c r="F2" s="18"/>
      <c r="G2" s="3" t="s">
        <v>3</v>
      </c>
      <c r="H2" s="4">
        <f>COUNTIFS(I9:I141,"결함")</f>
        <v>0</v>
      </c>
      <c r="I2" s="5" t="s">
        <v>4</v>
      </c>
      <c r="J2" s="4">
        <f ca="1">COUNTIFS(I8:I141,"결함",M8:M141,"&lt;="&amp;TODAY())</f>
        <v>0</v>
      </c>
      <c r="K2" s="5" t="s">
        <v>5</v>
      </c>
      <c r="L2" s="6">
        <f>COUNTIFS(J9:J141,"반영")</f>
        <v>0</v>
      </c>
      <c r="M2" s="5" t="s">
        <v>6</v>
      </c>
      <c r="N2" s="6">
        <f ca="1">COUNTIFS(J8:J141,"반영",M8:M141,"&lt;="&amp;TODAY())</f>
        <v>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1.25" customHeight="1">
      <c r="A3" s="1"/>
      <c r="B3" s="21"/>
      <c r="C3" s="21"/>
      <c r="D3" s="18"/>
      <c r="E3" s="19"/>
      <c r="F3" s="18"/>
      <c r="G3" s="3" t="s">
        <v>7</v>
      </c>
      <c r="H3" s="4">
        <f>COUNTIFS(I9:I141,"개선사항")</f>
        <v>0</v>
      </c>
      <c r="I3" s="5" t="s">
        <v>8</v>
      </c>
      <c r="J3" s="4">
        <f ca="1">COUNTIFS(I8:I141,"개선사항",M8:M141,"&lt;="&amp;TODAY())</f>
        <v>0</v>
      </c>
      <c r="K3" s="5" t="s">
        <v>9</v>
      </c>
      <c r="L3" s="6">
        <f>COUNTIFS(J9:J141,"미반영")</f>
        <v>0</v>
      </c>
      <c r="M3" s="4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1.25" customHeight="1">
      <c r="A4" s="1"/>
      <c r="B4" s="21"/>
      <c r="C4" s="21"/>
      <c r="D4" s="18"/>
      <c r="E4" s="19"/>
      <c r="F4" s="18"/>
      <c r="G4" s="3" t="s">
        <v>10</v>
      </c>
      <c r="H4" s="4">
        <f>COUNTIFS(I9:I141,"추가사항")</f>
        <v>0</v>
      </c>
      <c r="I4" s="5" t="s">
        <v>11</v>
      </c>
      <c r="J4" s="4">
        <f ca="1">COUNTIFS(I8:I141,"추가사항",M8:M141,"&lt;="&amp;TODAY())</f>
        <v>0</v>
      </c>
      <c r="K4" s="5" t="s">
        <v>12</v>
      </c>
      <c r="L4" s="6">
        <f>COUNTIFS(J9:J141,"보류")</f>
        <v>0</v>
      </c>
      <c r="M4" s="4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1.25" customHeight="1">
      <c r="A5" s="1"/>
      <c r="B5" s="21"/>
      <c r="C5" s="21"/>
      <c r="D5" s="18"/>
      <c r="E5" s="19"/>
      <c r="F5" s="19"/>
      <c r="G5" s="3" t="s">
        <v>13</v>
      </c>
      <c r="H5" s="4">
        <f>SUM(H2:H4)</f>
        <v>0</v>
      </c>
      <c r="I5" s="4" t="s">
        <v>13</v>
      </c>
      <c r="J5" s="4">
        <f ca="1">SUM(J2:J4)</f>
        <v>0</v>
      </c>
      <c r="K5" s="4" t="s">
        <v>13</v>
      </c>
      <c r="L5" s="6">
        <f>SUM(L1:L4)</f>
        <v>0</v>
      </c>
      <c r="M5" s="4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1.25" customHeight="1">
      <c r="A6" s="1"/>
      <c r="B6" s="21"/>
      <c r="C6" s="21"/>
      <c r="D6" s="18"/>
      <c r="E6" s="19"/>
      <c r="F6" s="18"/>
      <c r="G6" s="20"/>
      <c r="H6" s="8"/>
      <c r="I6" s="8"/>
      <c r="J6" s="8"/>
      <c r="K6" s="8"/>
      <c r="L6" s="2"/>
      <c r="M6" s="8"/>
      <c r="N6" s="2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1.25" customHeight="1">
      <c r="A7" s="32" t="s">
        <v>14</v>
      </c>
      <c r="B7" s="30"/>
      <c r="C7" s="30"/>
      <c r="D7" s="30"/>
      <c r="E7" s="30"/>
      <c r="F7" s="30"/>
      <c r="G7" s="30"/>
      <c r="H7" s="31"/>
      <c r="I7" s="29" t="s">
        <v>15</v>
      </c>
      <c r="J7" s="30"/>
      <c r="K7" s="30"/>
      <c r="L7" s="30"/>
      <c r="M7" s="30"/>
      <c r="N7" s="31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1.25" customHeight="1">
      <c r="A8" s="9" t="s">
        <v>16</v>
      </c>
      <c r="B8" s="9" t="s">
        <v>17</v>
      </c>
      <c r="C8" s="10" t="s">
        <v>18</v>
      </c>
      <c r="D8" s="11" t="s">
        <v>19</v>
      </c>
      <c r="E8" s="11" t="s">
        <v>20</v>
      </c>
      <c r="F8" s="11" t="s">
        <v>21</v>
      </c>
      <c r="G8" s="12" t="s">
        <v>22</v>
      </c>
      <c r="H8" s="9" t="s">
        <v>23</v>
      </c>
      <c r="I8" s="13" t="s">
        <v>24</v>
      </c>
      <c r="J8" s="13" t="s">
        <v>25</v>
      </c>
      <c r="K8" s="13" t="s">
        <v>26</v>
      </c>
      <c r="L8" s="14" t="s">
        <v>27</v>
      </c>
      <c r="M8" s="14" t="s">
        <v>28</v>
      </c>
      <c r="N8" s="15" t="s">
        <v>29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s="42" customFormat="1" ht="11.25" customHeight="1">
      <c r="A9" s="39"/>
      <c r="B9" s="39"/>
      <c r="C9" s="39"/>
      <c r="D9" s="39"/>
      <c r="E9" s="39"/>
      <c r="F9" s="40"/>
      <c r="G9" s="41"/>
      <c r="H9" s="39"/>
      <c r="I9" s="40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spans="1:30" s="45" customFormat="1" ht="11.25" customHeight="1">
      <c r="A10" s="38"/>
      <c r="B10" s="38"/>
      <c r="C10" s="38"/>
      <c r="D10" s="38"/>
      <c r="E10" s="38"/>
      <c r="F10" s="43"/>
      <c r="G10" s="44"/>
      <c r="H10" s="38"/>
      <c r="I10" s="43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 spans="1:30" s="45" customFormat="1" ht="11.25" customHeight="1">
      <c r="A11" s="38"/>
      <c r="B11" s="38"/>
      <c r="C11" s="38"/>
      <c r="D11" s="38"/>
      <c r="E11" s="38"/>
      <c r="F11" s="43"/>
      <c r="G11" s="44"/>
      <c r="H11" s="38"/>
      <c r="I11" s="43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 spans="1:30" s="45" customFormat="1" ht="11.25" customHeight="1">
      <c r="A12" s="38"/>
      <c r="B12" s="38"/>
      <c r="C12" s="38"/>
      <c r="D12" s="38"/>
      <c r="E12" s="38"/>
      <c r="F12" s="43"/>
      <c r="G12" s="44"/>
      <c r="H12" s="38"/>
      <c r="I12" s="43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s="45" customFormat="1" ht="11.25" customHeight="1">
      <c r="A13" s="38"/>
      <c r="B13" s="38"/>
      <c r="C13" s="38"/>
      <c r="D13" s="38"/>
      <c r="E13" s="38"/>
      <c r="F13" s="43"/>
      <c r="G13" s="46"/>
      <c r="H13" s="38"/>
      <c r="I13" s="43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spans="1:30" s="45" customFormat="1" ht="11.25" customHeight="1">
      <c r="A14" s="38"/>
      <c r="B14" s="38"/>
      <c r="C14" s="38"/>
      <c r="D14" s="38"/>
      <c r="E14" s="38"/>
      <c r="F14" s="43"/>
      <c r="G14" s="44"/>
      <c r="H14" s="38"/>
      <c r="I14" s="43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s="45" customFormat="1" ht="11.25" customHeight="1">
      <c r="A15" s="38"/>
      <c r="B15" s="38"/>
      <c r="C15" s="38"/>
      <c r="D15" s="38"/>
      <c r="E15" s="38"/>
      <c r="F15" s="43"/>
      <c r="G15" s="44"/>
      <c r="H15" s="38"/>
      <c r="I15" s="43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 spans="1:30" s="45" customFormat="1" ht="11.25" customHeight="1">
      <c r="A16" s="38"/>
      <c r="B16" s="38"/>
      <c r="C16" s="38"/>
      <c r="D16" s="38"/>
      <c r="E16" s="38"/>
      <c r="F16" s="43"/>
      <c r="G16" s="44"/>
      <c r="H16" s="38"/>
      <c r="I16" s="43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</row>
    <row r="17" spans="1:30" s="45" customFormat="1" ht="11.25" customHeight="1">
      <c r="A17" s="38"/>
      <c r="B17" s="38"/>
      <c r="C17" s="38"/>
      <c r="D17" s="38"/>
      <c r="E17" s="38"/>
      <c r="F17" s="43"/>
      <c r="G17" s="44"/>
      <c r="H17" s="38"/>
      <c r="I17" s="43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 spans="1:30" s="45" customFormat="1" ht="11.25" customHeight="1">
      <c r="A18" s="38"/>
      <c r="B18" s="38"/>
      <c r="C18" s="38"/>
      <c r="D18" s="38"/>
      <c r="E18" s="38"/>
      <c r="F18" s="43"/>
      <c r="G18" s="44"/>
      <c r="H18" s="38"/>
      <c r="I18" s="43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spans="1:30" s="45" customFormat="1" ht="11.25" customHeight="1">
      <c r="A19" s="38"/>
      <c r="B19" s="38"/>
      <c r="C19" s="38"/>
      <c r="D19" s="38"/>
      <c r="E19" s="38"/>
      <c r="F19" s="43"/>
      <c r="G19" s="44"/>
      <c r="H19" s="38"/>
      <c r="I19" s="43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spans="1:30" s="45" customFormat="1" ht="11.25" customHeight="1">
      <c r="A20" s="38"/>
      <c r="B20" s="38"/>
      <c r="C20" s="38"/>
      <c r="D20" s="38"/>
      <c r="E20" s="38"/>
      <c r="F20" s="43"/>
      <c r="G20" s="44"/>
      <c r="H20" s="38"/>
      <c r="I20" s="43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spans="1:30" s="45" customFormat="1" ht="11.25" customHeight="1">
      <c r="A21" s="38"/>
      <c r="B21" s="38"/>
      <c r="C21" s="38"/>
      <c r="D21" s="38"/>
      <c r="E21" s="38"/>
      <c r="F21" s="43"/>
      <c r="G21" s="44"/>
      <c r="H21" s="38"/>
      <c r="I21" s="43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 spans="1:30" s="45" customFormat="1" ht="11.25" customHeight="1">
      <c r="A22" s="38"/>
      <c r="B22" s="38"/>
      <c r="C22" s="38"/>
      <c r="D22" s="38"/>
      <c r="E22" s="38"/>
      <c r="F22" s="43"/>
      <c r="G22" s="44"/>
      <c r="H22" s="38"/>
      <c r="I22" s="43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 spans="1:30" s="45" customFormat="1" ht="11.25" customHeight="1">
      <c r="A23" s="38"/>
      <c r="B23" s="38"/>
      <c r="C23" s="38"/>
      <c r="D23" s="38"/>
      <c r="E23" s="38"/>
      <c r="F23" s="43"/>
      <c r="G23" s="44"/>
      <c r="H23" s="38"/>
      <c r="I23" s="43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 spans="1:30" s="45" customFormat="1" ht="11.25" customHeight="1">
      <c r="A24" s="38"/>
      <c r="B24" s="38"/>
      <c r="C24" s="38"/>
      <c r="D24" s="38"/>
      <c r="E24" s="38"/>
      <c r="F24" s="43"/>
      <c r="G24" s="44"/>
      <c r="H24" s="38"/>
      <c r="I24" s="43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 spans="1:30" s="45" customFormat="1" ht="11.25" customHeight="1">
      <c r="A25" s="38"/>
      <c r="B25" s="38"/>
      <c r="C25" s="38"/>
      <c r="D25" s="38"/>
      <c r="E25" s="38"/>
      <c r="F25" s="43"/>
      <c r="G25" s="44"/>
      <c r="H25" s="38"/>
      <c r="I25" s="43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 spans="1:30" s="45" customFormat="1" ht="11.25" customHeight="1">
      <c r="A26" s="38"/>
      <c r="B26" s="38"/>
      <c r="C26" s="38"/>
      <c r="D26" s="38"/>
      <c r="E26" s="38"/>
      <c r="F26" s="43"/>
      <c r="G26" s="44"/>
      <c r="H26" s="38"/>
      <c r="I26" s="43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 spans="1:30" s="45" customFormat="1" ht="11.25" customHeight="1">
      <c r="A27" s="38"/>
      <c r="B27" s="38"/>
      <c r="C27" s="38"/>
      <c r="D27" s="38"/>
      <c r="E27" s="38"/>
      <c r="F27" s="43"/>
      <c r="G27" s="44"/>
      <c r="H27" s="38"/>
      <c r="I27" s="43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spans="1:30" s="45" customFormat="1" ht="11.25" customHeight="1">
      <c r="A28" s="38"/>
      <c r="B28" s="38"/>
      <c r="C28" s="38"/>
      <c r="D28" s="38"/>
      <c r="E28" s="38"/>
      <c r="F28" s="43"/>
      <c r="G28" s="44"/>
      <c r="H28" s="38"/>
      <c r="I28" s="43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 spans="1:30" s="45" customFormat="1" ht="11.25" customHeight="1">
      <c r="A29" s="38"/>
      <c r="B29" s="38"/>
      <c r="C29" s="38"/>
      <c r="D29" s="38"/>
      <c r="E29" s="38"/>
      <c r="F29" s="43"/>
      <c r="G29" s="44"/>
      <c r="H29" s="38"/>
      <c r="I29" s="43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spans="1:30" s="45" customFormat="1" ht="11.25" customHeight="1">
      <c r="A30" s="38"/>
      <c r="B30" s="38"/>
      <c r="C30" s="38"/>
      <c r="D30" s="38"/>
      <c r="E30" s="38"/>
      <c r="F30" s="38"/>
      <c r="G30" s="4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 spans="1:30" s="45" customFormat="1" ht="11.25" customHeight="1">
      <c r="A31" s="38"/>
      <c r="B31" s="38"/>
      <c r="C31" s="38"/>
      <c r="D31" s="38"/>
      <c r="E31" s="38"/>
      <c r="F31" s="38"/>
      <c r="G31" s="4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 spans="1:30" s="45" customFormat="1" ht="11.25" customHeight="1">
      <c r="A32" s="38"/>
      <c r="B32" s="38"/>
      <c r="C32" s="38"/>
      <c r="D32" s="38"/>
      <c r="E32" s="38"/>
      <c r="F32" s="38"/>
      <c r="G32" s="4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 spans="1:30" s="45" customFormat="1" ht="11.25" customHeight="1">
      <c r="A33" s="38"/>
      <c r="B33" s="38"/>
      <c r="C33" s="38"/>
      <c r="D33" s="38"/>
      <c r="E33" s="38"/>
      <c r="F33" s="38"/>
      <c r="G33" s="4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spans="1:30" s="45" customFormat="1" ht="11.25" customHeight="1">
      <c r="A34" s="38"/>
      <c r="B34" s="38"/>
      <c r="C34" s="38"/>
      <c r="D34" s="38"/>
      <c r="E34" s="38"/>
      <c r="F34" s="47"/>
      <c r="G34" s="4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 spans="1:30" s="45" customFormat="1" ht="11.25" customHeight="1">
      <c r="A35" s="38"/>
      <c r="B35" s="38"/>
      <c r="C35" s="38"/>
      <c r="D35" s="38"/>
      <c r="E35" s="38"/>
      <c r="F35" s="47"/>
      <c r="G35" s="4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 spans="1:30" s="45" customFormat="1" ht="11.25" customHeight="1">
      <c r="A36" s="38"/>
      <c r="B36" s="38"/>
      <c r="C36" s="38"/>
      <c r="D36" s="38"/>
      <c r="E36" s="38"/>
      <c r="F36" s="47"/>
      <c r="G36" s="4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</row>
    <row r="37" spans="1:30" s="45" customFormat="1" ht="11.25" customHeight="1">
      <c r="A37" s="38"/>
      <c r="B37" s="38"/>
      <c r="C37" s="38"/>
      <c r="D37" s="38"/>
      <c r="E37" s="38"/>
      <c r="F37" s="47"/>
      <c r="G37" s="4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 spans="1:30" s="45" customFormat="1" ht="11.25" customHeight="1">
      <c r="A38" s="38"/>
      <c r="B38" s="38"/>
      <c r="C38" s="38"/>
      <c r="D38" s="38"/>
      <c r="E38" s="38"/>
      <c r="F38" s="47"/>
      <c r="G38" s="4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spans="1:30" s="45" customFormat="1" ht="11.25" customHeight="1">
      <c r="A39" s="38"/>
      <c r="B39" s="38"/>
      <c r="C39" s="38"/>
      <c r="D39" s="38"/>
      <c r="E39" s="38"/>
      <c r="F39" s="38"/>
      <c r="G39" s="4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spans="1:30" s="45" customFormat="1" ht="11.25" customHeight="1">
      <c r="A40" s="38"/>
      <c r="B40" s="38"/>
      <c r="C40" s="38"/>
      <c r="D40" s="38"/>
      <c r="E40" s="38"/>
      <c r="F40" s="38"/>
      <c r="G40" s="44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spans="1:30" s="45" customFormat="1" ht="11.25" customHeight="1">
      <c r="A41" s="38"/>
      <c r="B41" s="38"/>
      <c r="C41" s="38"/>
      <c r="D41" s="38"/>
      <c r="E41" s="38"/>
      <c r="F41" s="38"/>
      <c r="G41" s="44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 spans="1:30" s="45" customFormat="1" ht="11.25" customHeight="1">
      <c r="A42" s="38"/>
      <c r="B42" s="38"/>
      <c r="C42" s="38"/>
      <c r="D42" s="38"/>
      <c r="E42" s="38"/>
      <c r="F42" s="38"/>
      <c r="G42" s="44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 spans="1:30" s="45" customFormat="1" ht="11.25" customHeight="1">
      <c r="A43" s="38"/>
      <c r="B43" s="38"/>
      <c r="C43" s="38"/>
      <c r="D43" s="38"/>
      <c r="E43" s="38"/>
      <c r="F43" s="38"/>
      <c r="G43" s="4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spans="1:30" s="45" customFormat="1" ht="11.25" customHeight="1">
      <c r="A44" s="38"/>
      <c r="B44" s="38"/>
      <c r="C44" s="38"/>
      <c r="D44" s="38"/>
      <c r="E44" s="38"/>
      <c r="F44" s="38"/>
      <c r="G44" s="44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spans="1:30" s="45" customFormat="1" ht="11.25" customHeight="1">
      <c r="A45" s="38"/>
      <c r="B45" s="38"/>
      <c r="C45" s="38"/>
      <c r="D45" s="38"/>
      <c r="E45" s="38"/>
      <c r="F45" s="38"/>
      <c r="G45" s="44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 spans="1:30" s="45" customFormat="1" ht="11.25" customHeight="1">
      <c r="A46" s="38"/>
      <c r="B46" s="38"/>
      <c r="C46" s="38"/>
      <c r="D46" s="38"/>
      <c r="E46" s="38"/>
      <c r="F46" s="38"/>
      <c r="G46" s="44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 spans="1:30" s="45" customFormat="1" ht="11.25" customHeight="1">
      <c r="A47" s="38"/>
      <c r="B47" s="38"/>
      <c r="C47" s="38"/>
      <c r="D47" s="38"/>
      <c r="E47" s="38"/>
      <c r="F47" s="38"/>
      <c r="G47" s="44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 spans="1:30" s="45" customFormat="1" ht="11.25" customHeight="1">
      <c r="A48" s="38"/>
      <c r="B48" s="38"/>
      <c r="C48" s="38"/>
      <c r="D48" s="38"/>
      <c r="E48" s="38"/>
      <c r="F48" s="38"/>
      <c r="G48" s="44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</row>
    <row r="49" spans="1:30" s="45" customFormat="1" ht="11.25" customHeight="1">
      <c r="A49" s="38"/>
      <c r="B49" s="38"/>
      <c r="C49" s="38"/>
      <c r="D49" s="38"/>
      <c r="E49" s="38"/>
      <c r="F49" s="38"/>
      <c r="G49" s="44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 spans="1:30" s="45" customFormat="1" ht="11.25" customHeight="1">
      <c r="A50" s="38"/>
      <c r="B50" s="38"/>
      <c r="C50" s="38"/>
      <c r="D50" s="38"/>
      <c r="E50" s="38"/>
      <c r="F50" s="38"/>
      <c r="G50" s="44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 spans="1:30" s="45" customFormat="1" ht="11.25" customHeight="1">
      <c r="A51" s="38"/>
      <c r="B51" s="38"/>
      <c r="C51" s="38"/>
      <c r="D51" s="38"/>
      <c r="E51" s="38"/>
      <c r="F51" s="38"/>
      <c r="G51" s="44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spans="1:30" s="45" customFormat="1" ht="11.25" customHeight="1">
      <c r="A52" s="38"/>
      <c r="B52" s="38"/>
      <c r="C52" s="38"/>
      <c r="D52" s="38"/>
      <c r="E52" s="38"/>
      <c r="F52" s="48"/>
      <c r="G52" s="44"/>
      <c r="H52" s="48"/>
      <c r="I52" s="48"/>
      <c r="J52" s="38"/>
      <c r="K52" s="38"/>
      <c r="L52" s="38"/>
      <c r="M52" s="49"/>
      <c r="N52" s="38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s="45" customFormat="1" ht="11.25" customHeight="1">
      <c r="A53" s="38"/>
      <c r="B53" s="38"/>
      <c r="C53" s="38"/>
      <c r="D53" s="38"/>
      <c r="E53" s="38"/>
      <c r="F53" s="38"/>
      <c r="G53" s="44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 spans="1:30" s="45" customFormat="1" ht="11.25" customHeight="1">
      <c r="A54" s="38"/>
      <c r="B54" s="38"/>
      <c r="C54" s="38"/>
      <c r="D54" s="38"/>
      <c r="E54" s="38"/>
      <c r="F54" s="38"/>
      <c r="G54" s="4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 spans="1:30" s="45" customFormat="1" ht="11.25" customHeight="1">
      <c r="A55" s="38"/>
      <c r="B55" s="38"/>
      <c r="C55" s="38"/>
      <c r="D55" s="38"/>
      <c r="E55" s="38"/>
      <c r="F55" s="38"/>
      <c r="G55" s="4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 spans="1:30" s="45" customFormat="1" ht="11.25" customHeight="1">
      <c r="A56" s="38"/>
      <c r="B56" s="38"/>
      <c r="C56" s="38"/>
      <c r="D56" s="38"/>
      <c r="E56" s="38"/>
      <c r="F56" s="38"/>
      <c r="G56" s="44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spans="1:30" s="45" customFormat="1" ht="11.25" customHeight="1">
      <c r="A57" s="38"/>
      <c r="B57" s="38"/>
      <c r="C57" s="38"/>
      <c r="D57" s="38"/>
      <c r="E57" s="38"/>
      <c r="F57" s="38"/>
      <c r="G57" s="4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spans="1:30" s="45" customFormat="1" ht="11.25" customHeight="1">
      <c r="A58" s="38"/>
      <c r="B58" s="38"/>
      <c r="C58" s="38"/>
      <c r="D58" s="38"/>
      <c r="E58" s="38"/>
      <c r="F58" s="38"/>
      <c r="G58" s="4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spans="1:30" s="45" customFormat="1" ht="11.25" customHeight="1">
      <c r="A59" s="38"/>
      <c r="B59" s="38"/>
      <c r="C59" s="38"/>
      <c r="D59" s="38"/>
      <c r="E59" s="38"/>
      <c r="F59" s="38"/>
      <c r="G59" s="4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 spans="1:30" s="45" customFormat="1" ht="11.25" customHeight="1">
      <c r="A60" s="38"/>
      <c r="B60" s="38"/>
      <c r="C60" s="38"/>
      <c r="D60" s="38"/>
      <c r="E60" s="38"/>
      <c r="F60" s="38"/>
      <c r="G60" s="4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 spans="1:30" s="45" customFormat="1" ht="11.25" customHeight="1">
      <c r="A61" s="38"/>
      <c r="B61" s="38"/>
      <c r="C61" s="38"/>
      <c r="D61" s="38"/>
      <c r="E61" s="38"/>
      <c r="F61" s="38"/>
      <c r="G61" s="4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</row>
    <row r="62" spans="1:30" s="45" customFormat="1" ht="11.25" customHeight="1">
      <c r="A62" s="38"/>
      <c r="B62" s="38"/>
      <c r="C62" s="38"/>
      <c r="D62" s="38"/>
      <c r="E62" s="38"/>
      <c r="F62" s="38"/>
      <c r="G62" s="4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 spans="1:30" s="45" customFormat="1" ht="11.25" customHeight="1">
      <c r="A63" s="38"/>
      <c r="B63" s="38"/>
      <c r="C63" s="38"/>
      <c r="D63" s="38"/>
      <c r="E63" s="38"/>
      <c r="F63" s="38"/>
      <c r="G63" s="4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 spans="1:30" s="45" customFormat="1" ht="11.25" customHeight="1">
      <c r="A64" s="38"/>
      <c r="B64" s="38"/>
      <c r="C64" s="38"/>
      <c r="D64" s="38"/>
      <c r="E64" s="38"/>
      <c r="F64" s="38"/>
      <c r="G64" s="4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 spans="1:30" s="45" customFormat="1" ht="11.25" customHeight="1">
      <c r="A65" s="38"/>
      <c r="B65" s="38"/>
      <c r="C65" s="38"/>
      <c r="D65" s="38"/>
      <c r="E65" s="38"/>
      <c r="F65" s="38"/>
      <c r="G65" s="4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 spans="1:30" s="45" customFormat="1" ht="11.25" customHeight="1">
      <c r="A66" s="38"/>
      <c r="B66" s="38"/>
      <c r="C66" s="38"/>
      <c r="D66" s="38"/>
      <c r="E66" s="38"/>
      <c r="F66" s="38"/>
      <c r="G66" s="4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 spans="1:30" s="45" customFormat="1" ht="11.25" customHeight="1">
      <c r="A67" s="38"/>
      <c r="B67" s="38"/>
      <c r="C67" s="38"/>
      <c r="D67" s="38"/>
      <c r="E67" s="38"/>
      <c r="F67" s="38"/>
      <c r="G67" s="44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</row>
    <row r="68" spans="1:30" s="45" customFormat="1" ht="11.25" customHeight="1">
      <c r="A68" s="38"/>
      <c r="B68" s="38"/>
      <c r="C68" s="38"/>
      <c r="D68" s="38"/>
      <c r="E68" s="38"/>
      <c r="F68" s="38"/>
      <c r="G68" s="44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 spans="1:30" s="45" customFormat="1" ht="11.25" customHeight="1">
      <c r="A69" s="38"/>
      <c r="B69" s="38"/>
      <c r="C69" s="38"/>
      <c r="D69" s="38"/>
      <c r="E69" s="38"/>
      <c r="F69" s="38"/>
      <c r="G69" s="44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 spans="1:30" s="45" customFormat="1" ht="11.25" customHeight="1">
      <c r="A70" s="38"/>
      <c r="B70" s="38"/>
      <c r="C70" s="38"/>
      <c r="D70" s="38"/>
      <c r="E70" s="38"/>
      <c r="F70" s="38"/>
      <c r="G70" s="4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 spans="1:30" s="45" customFormat="1" ht="11.25" customHeight="1">
      <c r="A71" s="38"/>
      <c r="B71" s="38"/>
      <c r="C71" s="38"/>
      <c r="D71" s="38"/>
      <c r="E71" s="38"/>
      <c r="F71" s="38"/>
      <c r="G71" s="4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 spans="1:30" s="45" customFormat="1" ht="11.25" customHeight="1">
      <c r="A72" s="38"/>
      <c r="B72" s="38"/>
      <c r="C72" s="38"/>
      <c r="D72" s="38"/>
      <c r="E72" s="38"/>
      <c r="F72" s="38"/>
      <c r="G72" s="4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 spans="1:30" s="45" customFormat="1" ht="11.25" customHeight="1">
      <c r="A73" s="38"/>
      <c r="B73" s="38"/>
      <c r="C73" s="38"/>
      <c r="D73" s="38"/>
      <c r="E73" s="38"/>
      <c r="F73" s="38"/>
      <c r="G73" s="4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</row>
    <row r="74" spans="1:30" s="45" customFormat="1" ht="11.25" customHeight="1">
      <c r="A74" s="38"/>
      <c r="B74" s="38"/>
      <c r="C74" s="38"/>
      <c r="D74" s="38"/>
      <c r="E74" s="38"/>
      <c r="F74" s="38"/>
      <c r="G74" s="4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 spans="1:30" s="45" customFormat="1" ht="11.25" customHeight="1">
      <c r="A75" s="38"/>
      <c r="B75" s="38"/>
      <c r="C75" s="38"/>
      <c r="D75" s="38"/>
      <c r="E75" s="38"/>
      <c r="F75" s="38"/>
      <c r="G75" s="4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 spans="1:30" s="45" customFormat="1" ht="11.25" customHeight="1">
      <c r="A76" s="38"/>
      <c r="B76" s="38"/>
      <c r="C76" s="38"/>
      <c r="D76" s="38"/>
      <c r="E76" s="38"/>
      <c r="F76" s="38"/>
      <c r="G76" s="4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 spans="1:30" s="45" customFormat="1" ht="11.25" customHeight="1">
      <c r="A77" s="38"/>
      <c r="B77" s="38"/>
      <c r="C77" s="38"/>
      <c r="D77" s="38"/>
      <c r="E77" s="38"/>
      <c r="F77" s="38"/>
      <c r="G77" s="4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 spans="1:30" s="45" customFormat="1" ht="11.25" customHeight="1">
      <c r="A78" s="38"/>
      <c r="B78" s="38"/>
      <c r="C78" s="38"/>
      <c r="D78" s="38"/>
      <c r="E78" s="38"/>
      <c r="F78" s="38"/>
      <c r="G78" s="4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 spans="1:30" s="45" customFormat="1" ht="11.25" customHeight="1">
      <c r="A79" s="38"/>
      <c r="B79" s="38"/>
      <c r="C79" s="38"/>
      <c r="D79" s="38"/>
      <c r="E79" s="38"/>
      <c r="F79" s="38"/>
      <c r="G79" s="4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 spans="1:30" s="45" customFormat="1" ht="11.25" customHeight="1">
      <c r="A80" s="38"/>
      <c r="B80" s="38"/>
      <c r="C80" s="38"/>
      <c r="D80" s="38"/>
      <c r="E80" s="38"/>
      <c r="F80" s="38"/>
      <c r="G80" s="4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 spans="1:30" s="45" customFormat="1" ht="11.25" customHeight="1">
      <c r="A81" s="38"/>
      <c r="B81" s="38"/>
      <c r="C81" s="38"/>
      <c r="D81" s="38"/>
      <c r="E81" s="38"/>
      <c r="F81" s="38"/>
      <c r="G81" s="44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 spans="1:30" s="45" customFormat="1" ht="11.25" customHeight="1">
      <c r="A82" s="38"/>
      <c r="B82" s="38"/>
      <c r="C82" s="38"/>
      <c r="D82" s="38"/>
      <c r="E82" s="38"/>
      <c r="F82" s="38"/>
      <c r="G82" s="44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 spans="1:30" s="45" customFormat="1" ht="11.25" customHeight="1">
      <c r="A83" s="38"/>
      <c r="B83" s="38"/>
      <c r="C83" s="38"/>
      <c r="D83" s="38"/>
      <c r="E83" s="38"/>
      <c r="F83" s="38"/>
      <c r="G83" s="44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 spans="1:30" s="45" customFormat="1" ht="11.25" customHeight="1">
      <c r="A84" s="38"/>
      <c r="B84" s="38"/>
      <c r="C84" s="38"/>
      <c r="D84" s="38"/>
      <c r="E84" s="51"/>
      <c r="F84" s="38"/>
      <c r="G84" s="44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 spans="1:30" s="45" customFormat="1" ht="11.25" customHeight="1">
      <c r="A85" s="38"/>
      <c r="B85" s="38"/>
      <c r="C85" s="38"/>
      <c r="D85" s="38"/>
      <c r="E85" s="51"/>
      <c r="F85" s="51"/>
      <c r="G85" s="4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 spans="1:30" s="45" customFormat="1" ht="11.25" customHeight="1">
      <c r="A86" s="38"/>
      <c r="B86" s="38"/>
      <c r="C86" s="38"/>
      <c r="D86" s="38"/>
      <c r="E86" s="38"/>
      <c r="F86" s="38"/>
      <c r="G86" s="4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 spans="1:30" s="45" customFormat="1" ht="11.25" customHeight="1">
      <c r="A87" s="38"/>
      <c r="B87" s="38"/>
      <c r="C87" s="38"/>
      <c r="D87" s="38"/>
      <c r="E87" s="51"/>
      <c r="F87" s="51"/>
      <c r="G87" s="44"/>
      <c r="H87" s="38"/>
      <c r="I87" s="51"/>
      <c r="J87" s="51"/>
      <c r="K87" s="38"/>
      <c r="L87" s="51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 spans="1:30" s="45" customFormat="1" ht="11.25" customHeight="1">
      <c r="A88" s="38"/>
      <c r="B88" s="38"/>
      <c r="C88" s="38"/>
      <c r="D88" s="38"/>
      <c r="E88" s="51"/>
      <c r="F88" s="38"/>
      <c r="G88" s="44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 spans="1:30" s="45" customFormat="1" ht="11.25" customHeight="1">
      <c r="A89" s="38"/>
      <c r="B89" s="38"/>
      <c r="C89" s="38"/>
      <c r="D89" s="38"/>
      <c r="E89" s="51"/>
      <c r="F89" s="38"/>
      <c r="G89" s="44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 spans="1:30" s="45" customFormat="1" ht="11.25" customHeight="1">
      <c r="A90" s="38"/>
      <c r="B90" s="38"/>
      <c r="C90" s="38"/>
      <c r="D90" s="38"/>
      <c r="E90" s="51"/>
      <c r="F90" s="38"/>
      <c r="G90" s="4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 spans="1:30" s="45" customFormat="1" ht="11.25" customHeight="1">
      <c r="A91" s="38"/>
      <c r="B91" s="38"/>
      <c r="C91" s="38"/>
      <c r="D91" s="38"/>
      <c r="E91" s="51"/>
      <c r="F91" s="38"/>
      <c r="G91" s="4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 spans="1:30" s="45" customFormat="1" ht="11.25" customHeight="1">
      <c r="A92" s="38"/>
      <c r="B92" s="38"/>
      <c r="C92" s="38"/>
      <c r="D92" s="38"/>
      <c r="E92" s="51"/>
      <c r="F92" s="38"/>
      <c r="G92" s="44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 spans="1:30" s="45" customFormat="1" ht="11.25" customHeight="1">
      <c r="A93" s="38"/>
      <c r="B93" s="38"/>
      <c r="C93" s="38"/>
      <c r="D93" s="38"/>
      <c r="E93" s="51"/>
      <c r="F93" s="51"/>
      <c r="G93" s="44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 spans="1:30" s="45" customFormat="1" ht="11.25" customHeight="1">
      <c r="E94" s="38"/>
      <c r="F94" s="38"/>
      <c r="G94" s="44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 spans="1:30" s="45" customFormat="1" ht="11.25" customHeight="1">
      <c r="E95" s="51"/>
      <c r="F95" s="51"/>
      <c r="G95" s="44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spans="1:30" s="45" customFormat="1" ht="11.25" customHeight="1">
      <c r="E96" s="51"/>
      <c r="F96" s="51"/>
      <c r="G96" s="44"/>
      <c r="H96" s="51"/>
      <c r="I96" s="51"/>
      <c r="J96" s="38"/>
      <c r="K96" s="38"/>
      <c r="L96" s="51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 spans="1:30" s="45" customFormat="1" ht="11.25" customHeight="1">
      <c r="E97" s="51"/>
      <c r="F97" s="51"/>
      <c r="G97" s="44"/>
      <c r="H97" s="51"/>
      <c r="I97" s="51"/>
      <c r="J97" s="38"/>
      <c r="K97" s="38"/>
      <c r="L97" s="51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 spans="1:30" s="45" customFormat="1" ht="11.25" customHeight="1">
      <c r="E98" s="51"/>
      <c r="F98" s="51"/>
      <c r="G98" s="44"/>
      <c r="H98" s="51"/>
      <c r="I98" s="51"/>
      <c r="J98" s="38"/>
      <c r="K98" s="38"/>
      <c r="L98" s="51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</row>
    <row r="99" spans="1:30" s="45" customFormat="1" ht="11.25" customHeight="1">
      <c r="E99" s="51"/>
      <c r="F99" s="51"/>
      <c r="G99" s="44"/>
      <c r="H99" s="51"/>
      <c r="I99" s="51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</row>
    <row r="100" spans="1:30" s="45" customFormat="1" ht="11.25" customHeight="1">
      <c r="E100" s="48"/>
      <c r="F100" s="48"/>
      <c r="G100" s="44"/>
      <c r="H100" s="48"/>
      <c r="I100" s="48"/>
      <c r="J100" s="48"/>
      <c r="K100" s="48"/>
      <c r="L100" s="48"/>
      <c r="M100" s="48"/>
      <c r="N100" s="4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</row>
    <row r="101" spans="1:30" s="45" customFormat="1" ht="11.25" customHeight="1">
      <c r="E101" s="48"/>
      <c r="F101" s="48"/>
      <c r="G101" s="44"/>
      <c r="H101" s="48"/>
      <c r="I101" s="48"/>
      <c r="J101" s="48"/>
      <c r="K101" s="48"/>
      <c r="L101" s="48"/>
      <c r="M101" s="48"/>
      <c r="N101" s="4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 spans="1:30" s="45" customFormat="1" ht="11.25" customHeight="1">
      <c r="A102" s="38"/>
      <c r="B102" s="38"/>
      <c r="C102" s="38"/>
      <c r="D102" s="38"/>
      <c r="E102" s="38"/>
      <c r="F102" s="38"/>
      <c r="G102" s="44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 spans="1:30" s="45" customFormat="1" ht="11.25" customHeight="1">
      <c r="A103" s="38"/>
      <c r="B103" s="38"/>
      <c r="C103" s="38"/>
      <c r="D103" s="38"/>
      <c r="E103" s="38"/>
      <c r="F103" s="38"/>
      <c r="G103" s="44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</row>
    <row r="104" spans="1:30" s="45" customFormat="1" ht="11.25" customHeight="1">
      <c r="A104" s="38"/>
      <c r="B104" s="38"/>
      <c r="C104" s="38"/>
      <c r="D104" s="38"/>
      <c r="E104" s="38"/>
      <c r="F104" s="38"/>
      <c r="G104" s="44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</row>
    <row r="105" spans="1:30" s="45" customFormat="1" ht="11.25" customHeight="1">
      <c r="A105" s="38"/>
      <c r="B105" s="38"/>
      <c r="C105" s="38"/>
      <c r="D105" s="38"/>
      <c r="E105" s="38"/>
      <c r="F105" s="38"/>
      <c r="G105" s="44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</row>
    <row r="106" spans="1:30" s="45" customFormat="1" ht="11.25" customHeight="1">
      <c r="A106" s="38"/>
      <c r="B106" s="38"/>
      <c r="C106" s="38"/>
      <c r="D106" s="38"/>
      <c r="E106" s="38"/>
      <c r="F106" s="38"/>
      <c r="G106" s="44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</row>
    <row r="107" spans="1:30" s="45" customFormat="1" ht="11.25" customHeight="1">
      <c r="A107" s="38"/>
      <c r="B107" s="38"/>
      <c r="C107" s="38"/>
      <c r="D107" s="38"/>
      <c r="E107" s="38"/>
      <c r="F107" s="38"/>
      <c r="G107" s="44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</row>
    <row r="108" spans="1:30" s="45" customFormat="1" ht="11.25" customHeight="1">
      <c r="A108" s="38"/>
      <c r="B108" s="38"/>
      <c r="C108" s="38"/>
      <c r="D108" s="38"/>
      <c r="E108" s="38"/>
      <c r="F108" s="38"/>
      <c r="G108" s="44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 spans="1:30" s="45" customFormat="1" ht="11.25" customHeight="1">
      <c r="A109" s="38"/>
      <c r="B109" s="38"/>
      <c r="C109" s="38"/>
      <c r="D109" s="38"/>
      <c r="E109" s="38"/>
      <c r="F109" s="38"/>
      <c r="G109" s="44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</row>
    <row r="110" spans="1:30" s="45" customFormat="1" ht="11.25" customHeight="1">
      <c r="A110" s="38"/>
      <c r="B110" s="38"/>
      <c r="C110" s="38"/>
      <c r="D110" s="38"/>
      <c r="E110" s="38"/>
      <c r="F110" s="38"/>
      <c r="G110" s="44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</row>
    <row r="111" spans="1:30" s="45" customFormat="1" ht="11.25" customHeight="1">
      <c r="A111" s="38"/>
      <c r="B111" s="38"/>
      <c r="C111" s="38"/>
      <c r="D111" s="38"/>
      <c r="E111" s="38"/>
      <c r="F111" s="38"/>
      <c r="G111" s="44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</row>
    <row r="112" spans="1:30" s="45" customFormat="1" ht="11.25" customHeight="1">
      <c r="A112" s="38"/>
      <c r="B112" s="38"/>
      <c r="C112" s="38"/>
      <c r="D112" s="38"/>
      <c r="E112" s="38"/>
      <c r="F112" s="38"/>
      <c r="G112" s="44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</row>
    <row r="113" spans="1:30" s="45" customFormat="1" ht="11.25" customHeight="1">
      <c r="A113" s="38"/>
      <c r="B113" s="38"/>
      <c r="C113" s="38"/>
      <c r="D113" s="38"/>
      <c r="E113" s="38"/>
      <c r="F113" s="38"/>
      <c r="G113" s="44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</row>
    <row r="114" spans="1:30" s="45" customFormat="1" ht="11.25" customHeight="1">
      <c r="A114" s="38"/>
      <c r="B114" s="38"/>
      <c r="C114" s="38"/>
      <c r="D114" s="38"/>
      <c r="E114" s="38"/>
      <c r="F114" s="38"/>
      <c r="G114" s="44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 spans="1:30" s="45" customFormat="1" ht="11.25" customHeight="1">
      <c r="A115" s="38"/>
      <c r="B115" s="38"/>
      <c r="C115" s="38"/>
      <c r="D115" s="38"/>
      <c r="E115" s="38"/>
      <c r="F115" s="38"/>
      <c r="G115" s="44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</row>
    <row r="116" spans="1:30" s="45" customFormat="1" ht="11.25" customHeight="1">
      <c r="A116" s="38"/>
      <c r="B116" s="38"/>
      <c r="C116" s="38"/>
      <c r="D116" s="38"/>
      <c r="E116" s="38"/>
      <c r="F116" s="38"/>
      <c r="G116" s="44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</row>
    <row r="117" spans="1:30" s="45" customFormat="1" ht="11.25" customHeight="1">
      <c r="A117" s="38"/>
      <c r="B117" s="38"/>
      <c r="C117" s="38"/>
      <c r="D117" s="38"/>
      <c r="E117" s="38"/>
      <c r="F117" s="38"/>
      <c r="G117" s="44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 spans="1:30" s="45" customFormat="1" ht="11.25" customHeight="1">
      <c r="A118" s="38"/>
      <c r="B118" s="38"/>
      <c r="C118" s="38"/>
      <c r="D118" s="38"/>
      <c r="E118" s="38"/>
      <c r="F118" s="38"/>
      <c r="G118" s="44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 spans="1:30" s="45" customFormat="1" ht="11.25" customHeight="1">
      <c r="A119" s="38"/>
      <c r="B119" s="38"/>
      <c r="C119" s="38"/>
      <c r="D119" s="38"/>
      <c r="E119" s="38"/>
      <c r="F119" s="38"/>
      <c r="G119" s="44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</row>
    <row r="120" spans="1:30" s="45" customFormat="1" ht="11.25" customHeight="1">
      <c r="A120" s="38"/>
      <c r="B120" s="38"/>
      <c r="C120" s="38"/>
      <c r="D120" s="38"/>
      <c r="E120" s="38"/>
      <c r="F120" s="38"/>
      <c r="G120" s="44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 spans="1:30" s="45" customFormat="1" ht="11.25" customHeight="1">
      <c r="A121" s="38"/>
      <c r="B121" s="38"/>
      <c r="C121" s="38"/>
      <c r="D121" s="38"/>
      <c r="E121" s="38"/>
      <c r="F121" s="38"/>
      <c r="G121" s="44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</row>
    <row r="122" spans="1:30" s="45" customFormat="1" ht="11.25" customHeight="1">
      <c r="A122" s="38"/>
      <c r="B122" s="38"/>
      <c r="C122" s="38"/>
      <c r="D122" s="38"/>
      <c r="E122" s="38"/>
      <c r="F122" s="38"/>
      <c r="G122" s="44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</row>
    <row r="123" spans="1:30" s="45" customFormat="1" ht="11.25" customHeight="1">
      <c r="A123" s="38"/>
      <c r="B123" s="38"/>
      <c r="C123" s="38"/>
      <c r="D123" s="38"/>
      <c r="E123" s="38"/>
      <c r="F123" s="38"/>
      <c r="G123" s="44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</row>
    <row r="124" spans="1:30" s="45" customFormat="1" ht="11.25" customHeight="1">
      <c r="A124" s="38"/>
      <c r="B124" s="38"/>
      <c r="C124" s="38"/>
      <c r="D124" s="38"/>
      <c r="E124" s="38"/>
      <c r="F124" s="38"/>
      <c r="G124" s="44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</row>
    <row r="125" spans="1:30" s="45" customFormat="1" ht="11.25" customHeight="1">
      <c r="A125" s="52"/>
      <c r="B125" s="38"/>
      <c r="C125" s="38"/>
      <c r="D125" s="38"/>
      <c r="E125" s="38"/>
      <c r="F125" s="38"/>
      <c r="G125" s="44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</row>
    <row r="126" spans="1:30" s="45" customFormat="1" ht="11.25" customHeight="1">
      <c r="A126" s="52"/>
      <c r="B126" s="38"/>
      <c r="C126" s="38"/>
      <c r="D126" s="38"/>
      <c r="E126" s="38"/>
      <c r="F126" s="38"/>
      <c r="G126" s="44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</row>
    <row r="127" spans="1:30" s="45" customFormat="1" ht="11.25" customHeight="1">
      <c r="A127" s="52"/>
      <c r="B127" s="38"/>
      <c r="C127" s="38"/>
      <c r="D127" s="38"/>
      <c r="E127" s="38"/>
      <c r="F127" s="38"/>
      <c r="G127" s="44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</row>
    <row r="128" spans="1:30" s="45" customFormat="1" ht="11.25" customHeight="1">
      <c r="A128" s="52"/>
      <c r="B128" s="38"/>
      <c r="C128" s="38"/>
      <c r="D128" s="38"/>
      <c r="E128" s="38"/>
      <c r="F128" s="38"/>
      <c r="G128" s="44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</row>
    <row r="129" spans="1:30" s="45" customFormat="1" ht="11.25" customHeight="1">
      <c r="A129" s="52"/>
      <c r="B129" s="38"/>
      <c r="C129" s="38"/>
      <c r="D129" s="38"/>
      <c r="E129" s="38"/>
      <c r="F129" s="38"/>
      <c r="G129" s="44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</row>
    <row r="130" spans="1:30" s="45" customFormat="1" ht="11.25" customHeight="1">
      <c r="A130" s="52"/>
      <c r="B130" s="38"/>
      <c r="C130" s="38"/>
      <c r="D130" s="38"/>
      <c r="E130" s="38"/>
      <c r="F130" s="38"/>
      <c r="G130" s="44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</row>
    <row r="131" spans="1:30" s="45" customFormat="1" ht="11.25" customHeight="1">
      <c r="A131" s="52"/>
      <c r="B131" s="38"/>
      <c r="C131" s="38"/>
      <c r="D131" s="38"/>
      <c r="E131" s="38"/>
      <c r="F131" s="38"/>
      <c r="G131" s="44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</row>
    <row r="132" spans="1:30" s="45" customFormat="1" ht="11.25" customHeight="1">
      <c r="A132" s="52"/>
      <c r="B132" s="38"/>
      <c r="C132" s="38"/>
      <c r="D132" s="38"/>
      <c r="E132" s="38"/>
      <c r="F132" s="38"/>
      <c r="G132" s="44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</row>
    <row r="133" spans="1:30" s="45" customFormat="1" ht="11.25" customHeight="1">
      <c r="A133" s="52"/>
      <c r="B133" s="38"/>
      <c r="C133" s="38"/>
      <c r="D133" s="38"/>
      <c r="E133" s="38"/>
      <c r="F133" s="38"/>
      <c r="G133" s="44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</row>
    <row r="134" spans="1:30" s="45" customFormat="1" ht="11.25" customHeight="1">
      <c r="A134" s="52"/>
      <c r="B134" s="38"/>
      <c r="C134" s="38"/>
      <c r="D134" s="38"/>
      <c r="E134" s="38"/>
      <c r="F134" s="38"/>
      <c r="G134" s="44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 spans="1:30" s="45" customFormat="1" ht="11.25" customHeight="1">
      <c r="A135" s="52"/>
      <c r="B135" s="38"/>
      <c r="C135" s="38"/>
      <c r="D135" s="38"/>
      <c r="E135" s="38"/>
      <c r="F135" s="38"/>
      <c r="G135" s="44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 spans="1:30" s="45" customFormat="1" ht="11.25" customHeight="1">
      <c r="A136" s="52"/>
      <c r="B136" s="38"/>
      <c r="C136" s="38"/>
      <c r="D136" s="38"/>
      <c r="E136" s="38"/>
      <c r="F136" s="38"/>
      <c r="G136" s="44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</row>
    <row r="137" spans="1:30" s="45" customFormat="1" ht="11.25" customHeight="1">
      <c r="A137" s="52"/>
      <c r="B137" s="38"/>
      <c r="C137" s="38"/>
      <c r="D137" s="38"/>
      <c r="E137" s="38"/>
      <c r="F137" s="38"/>
      <c r="G137" s="44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</row>
    <row r="138" spans="1:30" s="35" customFormat="1" ht="11.25" customHeight="1">
      <c r="A138" s="36"/>
      <c r="B138" s="33"/>
      <c r="C138" s="33"/>
      <c r="D138" s="33"/>
      <c r="E138" s="33"/>
      <c r="F138" s="33"/>
      <c r="G138" s="34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spans="1:30" s="35" customFormat="1" ht="11.25" customHeight="1">
      <c r="A139" s="36"/>
      <c r="B139" s="33"/>
      <c r="C139" s="33"/>
      <c r="D139" s="33"/>
      <c r="E139" s="33"/>
      <c r="F139" s="33"/>
      <c r="G139" s="34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spans="1:30" s="35" customFormat="1" ht="11.25" customHeight="1">
      <c r="A140" s="36"/>
      <c r="B140" s="33"/>
      <c r="C140" s="33"/>
      <c r="D140" s="33"/>
      <c r="E140" s="33"/>
      <c r="F140" s="33"/>
      <c r="G140" s="34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spans="1:30" s="35" customFormat="1" ht="11.25" customHeight="1">
      <c r="A141" s="36"/>
      <c r="B141" s="33"/>
      <c r="C141" s="33"/>
      <c r="D141" s="33"/>
      <c r="E141" s="33"/>
      <c r="F141" s="37"/>
      <c r="G141" s="34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</sheetData>
  <mergeCells count="2">
    <mergeCell ref="I7:N7"/>
    <mergeCell ref="A7:H7"/>
  </mergeCells>
  <phoneticPr fontId="9" type="noConversion"/>
  <pageMargins left="0.78749999999999998" right="0.78749999999999998" top="0.78749999999999998" bottom="0.78749999999999998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필요내용</vt:lpstr>
      <vt:lpstr>4.결함대장(원본)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2025-06-18T09:32:38Z</dcterms:modified>
</cp:coreProperties>
</file>